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pdated raw sheet" state="visible" r:id="rId4"/>
    <sheet sheetId="2" name="amazon-b2b-pivot" state="visible" r:id="rId5"/>
    <sheet sheetId="3" name="amazon-b2b-tally-ready" state="visible" r:id="rId6"/>
    <sheet sheetId="4" name="amazon-b2b-shipping-tally-ready" state="visible" r:id="rId7"/>
    <sheet sheetId="5" name="amazon-b2b-gstr-hsn" state="visible" r:id="rId8"/>
  </sheets>
  <calcPr calcId="171027"/>
</workbook>
</file>

<file path=xl/sharedStrings.xml><?xml version="1.0" encoding="utf-8"?>
<sst xmlns="http://schemas.openxmlformats.org/spreadsheetml/2006/main" count="1744" uniqueCount="432">
  <si>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</si>
  <si>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</si>
  <si>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</si>
  <si>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</si>
  <si>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</si>
  <si>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</si>
  <si>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</si>
  <si>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</si>
  <si>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</si>
  <si>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</si>
  <si>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</si>
  <si>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</si>
  <si>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</si>
  <si>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</si>
  <si>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FG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</si>
  <si>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</si>
  <si>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</si>
  <si>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</si>
  <si>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</si>
  <si>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</si>
  <si>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</si>
  <si>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</si>
  <si>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</si>
  <si>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</si>
  <si>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</si>
  <si>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</si>
  <si>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State Tally Ledger</t>
  </si>
  <si>
    <t>Final Invoice No.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</si>
  <si>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</si>
  <si>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</si>
  <si>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</si>
  <si>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</si>
  <si>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</si>
  <si>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</si>
  <si>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</si>
  <si>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</si>
  <si>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</si>
  <si>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</si>
  <si>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</si>
  <si>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</si>
  <si>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</si>
  <si>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</si>
  <si>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Utgst Tax</t>
  </si>
  <si>
    <t>Igst Tax</t>
  </si>
  <si>
    <t>Compensatory Cess Tax</t>
  </si>
  <si>
    <t>Final Tax rate</t>
  </si>
  <si>
    <t>Final Taxable Sales Value</t>
  </si>
  <si>
    <t>Final Taxable Shipping Value</t>
  </si>
  <si>
    <t>Final CGST Tax</t>
  </si>
  <si>
    <t>Final SGST Tax</t>
  </si>
  <si>
    <t>Final IGST Tax</t>
  </si>
  <si>
    <t>Final Shipping CGST Tax</t>
  </si>
  <si>
    <t>Final Shipping SGST Tax</t>
  </si>
  <si>
    <t>Final Shipping IGST Tax</t>
  </si>
  <si>
    <t>Final Amount Receivable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</si>
  <si>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</si>
  <si>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</si>
  <si>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</si>
  <si>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</si>
  <si>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</si>
  <si>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</si>
  <si>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</si>
  <si>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</si>
  <si>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</si>
  <si>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</si>
  <si>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</si>
  <si>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</si>
  <si>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</si>
  <si>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</si>
  <si>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</si>
  <si>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</si>
  <si>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Tax</t>
  </si>
  <si>
    <t>Shipping Promo Discount</t>
  </si>
  <si>
    <t>Shipping Promo Discount Basis</t>
  </si>
  <si>
    <t>Shipping Promo Tax</t>
  </si>
  <si>
    <t>Gift Wrap Promo Discount</t>
  </si>
  <si>
    <t>Gift Wrap Promo Discount Basis</t>
  </si>
  <si>
    <t>Gift Wrap Promo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</si>
  <si>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</si>
  <si>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</si>
  <si>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</si>
  <si>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</si>
  <si>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</si>
  <si>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</si>
  <si>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</si>
  <si>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</si>
  <si>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</si>
  <si>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</si>
  <si>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</si>
  <si>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Bill To City</t>
  </si>
  <si>
    <t>Bill To State</t>
  </si>
  <si>
    <t>Bill To Country</t>
  </si>
  <si>
    <t>Bill To Postalcode</t>
  </si>
  <si>
    <t>Customer Bill To Gstid</t>
  </si>
  <si>
    <t>Customer Ship To Gstid</t>
  </si>
  <si>
    <t>Buyer Name</t>
  </si>
  <si>
    <t>Credit Note No</t>
  </si>
  <si>
    <t>Credit Note Date</t>
  </si>
  <si>
    <t>Irn Number</t>
  </si>
  <si>
    <t>Irn Filing Status</t>
  </si>
  <si>
    <t>Irn Date</t>
  </si>
  <si>
    <t>Irn Error Code</t>
  </si>
  <si>
    <t>06ABGCS4796R1ZA</t>
  </si>
  <si>
    <t>DEL5-263</t>
  </si>
  <si>
    <t>Shipment</t>
  </si>
  <si>
    <t>402-9396962-5529106</t>
  </si>
  <si>
    <t>A02377111ZF5EET1KMIBH</t>
  </si>
  <si>
    <t>Koparo Brass   Copper Cleaner  300ml    Pitambari Liquid for Copper  Brass   Silver   Chemical Free  Lab Tested Formula  Zero Metal Loss</t>
  </si>
  <si>
    <t>B0FNDCP9W1</t>
  </si>
  <si>
    <t>BRASSCLEANER-FBA</t>
  </si>
  <si>
    <t>FG Brass &amp; Copper Cleaner 300ml</t>
  </si>
  <si>
    <t>A_GEN_STANDARD</t>
  </si>
  <si>
    <t>NEW DELHI</t>
  </si>
  <si>
    <t>DELHI</t>
  </si>
  <si>
    <t>IN</t>
  </si>
  <si>
    <t>Gurgaon</t>
  </si>
  <si>
    <t>HARYANA</t>
  </si>
  <si>
    <t>Amazon B2B Inter-State</t>
  </si>
  <si>
    <t>AMZ-INTER-01</t>
  </si>
  <si>
    <t>DEL5</t>
  </si>
  <si>
    <t>AFN</t>
  </si>
  <si>
    <t>PayStation</t>
  </si>
  <si>
    <t>ALLAHABAD</t>
  </si>
  <si>
    <t>UTTAR PRADESH</t>
  </si>
  <si>
    <t>09AABFA5381R1ZW</t>
  </si>
  <si>
    <t>AMITDEEP MOTORS</t>
  </si>
  <si>
    <t>99ce1c3e392ff7bd9b9dce65aa6352b69936231d8b20db72d8844a52e4cacd48</t>
  </si>
  <si>
    <t>GOVT_ACCEPTED</t>
  </si>
  <si>
    <t>07ABGCS4796R1Z8</t>
  </si>
  <si>
    <t>IN-8301</t>
  </si>
  <si>
    <t>404-4897705-7631549</t>
  </si>
  <si>
    <t>A06377761KBIR7RPOFCZD</t>
  </si>
  <si>
    <t>Koparo Natural Wood Cleaner   Conditioner Combo   1300ml   3 in 1 Clean  Condition   Protect Wooden Items   Plant Based   Non Toxic   Eco Friendly   K</t>
  </si>
  <si>
    <t>B0D776KC9M</t>
  </si>
  <si>
    <t>FRC-1300</t>
  </si>
  <si>
    <t>FG Combo Furniture Cleaner 1 ltr &amp; Furniture Cleaner 300 ML</t>
  </si>
  <si>
    <t>CHENNAI</t>
  </si>
  <si>
    <t>TAMIL NADU</t>
  </si>
  <si>
    <t>MFN</t>
  </si>
  <si>
    <t>CC</t>
  </si>
  <si>
    <t>33AAAFG4673K1ZD</t>
  </si>
  <si>
    <t>GOODWILL HARDWARE STORES</t>
  </si>
  <si>
    <t>0d949c456a9cf8177ecc6bd629bb24cc62ff968e1c5d89ea6823c72c05c96420</t>
  </si>
  <si>
    <t>IN-8353</t>
  </si>
  <si>
    <t>408-6696835-0957900</t>
  </si>
  <si>
    <t>A04272821JROGEWS17CQ4</t>
  </si>
  <si>
    <t>Koparo Natural Fabric Conditioner   Softener   850ml   Lavender Fragrance   Organic  Eco Friendly   Non Toxic   Top Load   Front Load   Protects Shine</t>
  </si>
  <si>
    <t>B093HFKP28</t>
  </si>
  <si>
    <t>KOPAROFABCON</t>
  </si>
  <si>
    <t>FG Fabric conditioner 850 ML Lavender</t>
  </si>
  <si>
    <t>Camurlim Goa</t>
  </si>
  <si>
    <t>GOA</t>
  </si>
  <si>
    <t>MUMBAI</t>
  </si>
  <si>
    <t>MAHARASHTRA</t>
  </si>
  <si>
    <t>27AOSPS5472E1ZC</t>
  </si>
  <si>
    <t>NAVDEEP SINGH</t>
  </si>
  <si>
    <t>e524baee225d25e9873a58254e324655d7f7aa82596667efdbbd807bfaf8af58</t>
  </si>
  <si>
    <t>IN-8421</t>
  </si>
  <si>
    <t>403-4142925-9480311</t>
  </si>
  <si>
    <t>A02226783FDAGO8WV53GI</t>
  </si>
  <si>
    <t>KOLKATA</t>
  </si>
  <si>
    <t>WEST BENGAL</t>
  </si>
  <si>
    <t>19AJSPN8606L1ZB</t>
  </si>
  <si>
    <t>UMA INDUSTRIES</t>
  </si>
  <si>
    <t>266b1d5114de377448f0c000fb4d03134dca1f7d6522d8ff425b7fb9a81e9008</t>
  </si>
  <si>
    <t>DEX3-129</t>
  </si>
  <si>
    <t>402-9390055-8445938</t>
  </si>
  <si>
    <t>A10113712JBS8TGN3TWEP</t>
  </si>
  <si>
    <t xml:space="preserve">Koparo Silver Cleaner Liquid  300ml    Silver Dip Instant Silver Cleaner Liquid   Tarnish Remover   Silver Cleaning Liquid for Pooja Items  Utensils </t>
  </si>
  <si>
    <t>B0FNCX3WQJ</t>
  </si>
  <si>
    <t>SILVERCLEANER-FBA</t>
  </si>
  <si>
    <t>FG Silver Cleaner 300ml</t>
  </si>
  <si>
    <t>Amazon B2B Intra-State</t>
  </si>
  <si>
    <t>AMZ-INTRA-01</t>
  </si>
  <si>
    <t>DEX3</t>
  </si>
  <si>
    <t>d79b23ff16c6d5831835c172c0c821eaa5247d2776e8a5a9dbe007a5244d29b7</t>
  </si>
  <si>
    <t>IN-8449</t>
  </si>
  <si>
    <t>403-5747704-6657115</t>
  </si>
  <si>
    <t>A0641232D5G8CJ2P5T1C</t>
  </si>
  <si>
    <t>Koparo Toilet Cleaner 800ml   Pack of 2   Removes Limescale   Provides Long Lasting Freshness   Plant Based   Non Toxic</t>
  </si>
  <si>
    <t>B0D4NGD87J</t>
  </si>
  <si>
    <t>TOILETCLEANER</t>
  </si>
  <si>
    <t>FG Toilet Cleaner 800 ml Pack of 2</t>
  </si>
  <si>
    <t>THANE</t>
  </si>
  <si>
    <t>NB</t>
  </si>
  <si>
    <t>27AFUPH4328B1ZH</t>
  </si>
  <si>
    <t>THE KITCHEN</t>
  </si>
  <si>
    <t>GOVT_REJECTED</t>
  </si>
  <si>
    <t>IN-8377</t>
  </si>
  <si>
    <t>402-2055471-2627507</t>
  </si>
  <si>
    <t>A0225941U7V8EUQHMREM</t>
  </si>
  <si>
    <t>Koparo Natural Cellulose Based Sponge Wipe   Pack of 5   100  Bio degradable  Durable   Lint Free  Reusable and Washable   Kitchen Microwave Referiger</t>
  </si>
  <si>
    <t>B0BCMFTLDQ</t>
  </si>
  <si>
    <t>SW</t>
  </si>
  <si>
    <t>FG Sponge Wipes Pack of 5</t>
  </si>
  <si>
    <t>BENGALURU</t>
  </si>
  <si>
    <t>KARNATAKA</t>
  </si>
  <si>
    <t>07AABCW5474C1ZD</t>
  </si>
  <si>
    <t>WATER MARK MARKETING PRIVATE LIMITED</t>
  </si>
  <si>
    <t>bd0e489a503b2bfab4701c0a4ddc1688dcc61a7feb0fd1fdb6a9289def3d9c07</t>
  </si>
  <si>
    <t>Koparo Microfiber Cleaning and Dusting Cloth for Multipurpose   40 X 40 cms   Double Sided   Highly Absorbent  Lint Free  Scratch Resistant  Recyclabl</t>
  </si>
  <si>
    <t>B0BCPQS5X3</t>
  </si>
  <si>
    <t>MFC</t>
  </si>
  <si>
    <t>FG Micro Fiber Cloth Pack of 3 (18%)</t>
  </si>
  <si>
    <t>IN-8545</t>
  </si>
  <si>
    <t>407-6398242-8798713</t>
  </si>
  <si>
    <t>A06813181N9H8HUPT5H94</t>
  </si>
  <si>
    <t>HYDERABAD</t>
  </si>
  <si>
    <t>TELANGANA</t>
  </si>
  <si>
    <t>CHANDIGARH</t>
  </si>
  <si>
    <t>04AAXFP0150H1Z9</t>
  </si>
  <si>
    <t>PRAHIM EDUCATION AND IMMIGRATION CONSULTANCY LLP</t>
  </si>
  <si>
    <t>IN-8678</t>
  </si>
  <si>
    <t>171-5927289-0892331</t>
  </si>
  <si>
    <t>A10393053JVOBUBNASRDF</t>
  </si>
  <si>
    <t>Pune</t>
  </si>
  <si>
    <t>PIMPRI CHINCHWAD</t>
  </si>
  <si>
    <t>27BPKPS7466C1ZF</t>
  </si>
  <si>
    <t>KAVITA VIKRAM KADAM</t>
  </si>
  <si>
    <t>IN-8772</t>
  </si>
  <si>
    <t>403-4869659-6379539</t>
  </si>
  <si>
    <t>A05630649CDG30EVIQUS</t>
  </si>
  <si>
    <t>Koparo Kitchen Degreaser Cleaner   400ml Pack of 2   Removes Hard Stains   Used for Chimney  Microwave Ovens  Grills  Gas Stoves   Plant Based   Non T</t>
  </si>
  <si>
    <t>B0DBZZM3JF</t>
  </si>
  <si>
    <t>KITCLEANER-2</t>
  </si>
  <si>
    <t>FG Kitchen Cleaner Liquid - 400ml Pack of 2</t>
  </si>
  <si>
    <t>Shivpuri</t>
  </si>
  <si>
    <t>MADHYA PRADESH</t>
  </si>
  <si>
    <t>GC_PayStation</t>
  </si>
  <si>
    <t>SHIVPURI</t>
  </si>
  <si>
    <t>23EGEPS0290G1ZH</t>
  </si>
  <si>
    <t>FUTURE SOLUTIONS</t>
  </si>
  <si>
    <t>7842bad1e3462fb7643e67b019ed8b4432bee7ac22528b1435ff19554ef6b42d</t>
  </si>
  <si>
    <t>IN-8750</t>
  </si>
  <si>
    <t>406-2721509-2463517</t>
  </si>
  <si>
    <t>A08672443BQT3K8QMAJQ</t>
  </si>
  <si>
    <t>Koparo Organic Dishwash Liquid   2 Litres   Orange and Sweet Lime Fragrance   Natural   Plant Based With Tea Tree Oil Germ Protection   Baby   Pet Saf</t>
  </si>
  <si>
    <t>B0BSH3XB9J</t>
  </si>
  <si>
    <t>DW-OSL-1.8L</t>
  </si>
  <si>
    <t>FG Dish Wash Orange &amp; Sweet Lime 2 Litre</t>
  </si>
  <si>
    <t>INDORE</t>
  </si>
  <si>
    <t>23AHOPR9485K2ZD</t>
  </si>
  <si>
    <t>RAGHAV CREATIONS</t>
  </si>
  <si>
    <t>ed120078257dff110a038518e869602ed905e9f90b874c82f5817d012e318680</t>
  </si>
  <si>
    <t>IN-8699</t>
  </si>
  <si>
    <t>407-6568231-3517965</t>
  </si>
  <si>
    <t>A0604712VP2QOZI96HY5</t>
  </si>
  <si>
    <t xml:space="preserve">Koparo Organic Dishwash Liquid   750ml   Lime And Basil Fragrance   Natural  Plant Based   Eco Friendly   Removes Tough Grease  Soft on Hands   Baby  </t>
  </si>
  <si>
    <t>B08FR64SSH</t>
  </si>
  <si>
    <t>KOPRAANDISHWASHINGLIQUID</t>
  </si>
  <si>
    <t>FG Dish Wash 750 ML</t>
  </si>
  <si>
    <t>Mumbai</t>
  </si>
  <si>
    <t>27AAMFC5318B1ZP</t>
  </si>
  <si>
    <t>Castle comforts hospitality llp</t>
  </si>
  <si>
    <t>166c32fd4a8eee5e89ac667256ef6fdce06cc94bba116c537fd3d89b82fd837a</t>
  </si>
  <si>
    <t>IN-8722</t>
  </si>
  <si>
    <t>403-2771885-2778717</t>
  </si>
  <si>
    <t>A01720623ERV0EA4TVK1R</t>
  </si>
  <si>
    <t>Koparo Kitchen Degreaser Cleaner   Removes Hard Stains   Used for Chimney  Microwave Ovens  Grills  Gas Stoves   Plant Based   Non Toxic   400ml</t>
  </si>
  <si>
    <t>B0FV2Y1JCH</t>
  </si>
  <si>
    <t>KITCLEANER</t>
  </si>
  <si>
    <t>FG Kitchen Cleaner Liquid - 400ml Pack of 1</t>
  </si>
  <si>
    <t>Koparo Natural Laundry Liquid Detergent   3 Litres   Lavender Fragrance   Top Load  Front Load Washing Machine   Hand Wash Friendly   Organic   Eco Fr</t>
  </si>
  <si>
    <t>B0CZXQMSR5</t>
  </si>
  <si>
    <t>90-X8YV-Q3DM</t>
  </si>
  <si>
    <t>FG Laundry Liquid 3 Litre Lavender</t>
  </si>
  <si>
    <t>IN-8826</t>
  </si>
  <si>
    <t>171-2020013-6839542</t>
  </si>
  <si>
    <t>A04583783095JGPE31VZJ</t>
  </si>
  <si>
    <t>27AAFPV8385G1Z1</t>
  </si>
  <si>
    <t>PERFECT PACKAGING</t>
  </si>
  <si>
    <t>IN-8886</t>
  </si>
  <si>
    <t>405-4886125-8808349</t>
  </si>
  <si>
    <t>A03604911M0U5TGBQWBK1</t>
  </si>
  <si>
    <t>Koparo Natural Fabric Conditioner   Softener   5 Litres   Lavender   Organic  Top Load   Front Load   Protects Shine   Safe For Baby Clothes  Liquid</t>
  </si>
  <si>
    <t>B09MZ2LBXB</t>
  </si>
  <si>
    <t>FABCON-5L</t>
  </si>
  <si>
    <t>FG Fabric Conditioner 5 Litre Lavender</t>
  </si>
  <si>
    <t>Tirunelveli</t>
  </si>
  <si>
    <t>33CDOPK5085N1ZW</t>
  </si>
  <si>
    <t>VENKATESHWARA ENTERPRISES</t>
  </si>
  <si>
    <t>IN-8903</t>
  </si>
  <si>
    <t>171-9040260-1745954</t>
  </si>
  <si>
    <t>A0446018EPWCACKU4285</t>
  </si>
  <si>
    <t>Koparo Toilet Cleaner   5 Litre   Lime   Lemongrass Fragrance   Removes Limescale   Plant Powered   Non Toxic</t>
  </si>
  <si>
    <t>B0DC6YZKBJ</t>
  </si>
  <si>
    <t>TC-5L</t>
  </si>
  <si>
    <t>FG Toilet Cleaner 5 Ltr</t>
  </si>
  <si>
    <t>Bengaluru</t>
  </si>
  <si>
    <t>29AAPCA8663F1Z4</t>
  </si>
  <si>
    <t>ASC Online Services Private Limited</t>
  </si>
  <si>
    <t>adce24ba05302a2d8f6f8634c188804a64363e27656e2ccb7250f47dba008e84</t>
  </si>
  <si>
    <t>IN-8958</t>
  </si>
  <si>
    <t>404-1299720-7158766</t>
  </si>
  <si>
    <t>A0840196UTN1CJXOV5IC</t>
  </si>
  <si>
    <t xml:space="preserve">Koparo Natural Tap And Shower Cleaner Spray   300 ml   Bathroom Fittings Taps Sinks Bath Tubs Shower   Hard Water Stain Remover   Dissolves Limescale </t>
  </si>
  <si>
    <t>B09TB76B7W</t>
  </si>
  <si>
    <t>TSC</t>
  </si>
  <si>
    <t>FG Tap and Shower cleaner 300 ML</t>
  </si>
  <si>
    <t>jammu</t>
  </si>
  <si>
    <t>JAMMU &amp; KASHMIR</t>
  </si>
  <si>
    <t>JAMMU</t>
  </si>
  <si>
    <t>01ABZPG9569J1ZX</t>
  </si>
  <si>
    <t xml:space="preserve">PAPPU RADIO   WATCH CO </t>
  </si>
  <si>
    <t>IN-8994</t>
  </si>
  <si>
    <t>171-1058693-0261901</t>
  </si>
  <si>
    <t>A02692531C1LHOAADN9BU</t>
  </si>
  <si>
    <t>Chennai</t>
  </si>
  <si>
    <t>33AAAFB0440R1ZN</t>
  </si>
  <si>
    <t>Bala and Co</t>
  </si>
  <si>
    <t>370a266bf3dcf1f8d91661491077f7a5b30ed887829ac3126850681b62790806</t>
  </si>
  <si>
    <t>IN-9137</t>
  </si>
  <si>
    <t>407-3591465-9859551</t>
  </si>
  <si>
    <t>A08706433EMBWMUX3IIC5</t>
  </si>
  <si>
    <t>Koparo Natural Disinfectant Floor Cleaner Liquid   5 Litres   Lime   Lemongrass   Tile   Marble Cleaner   Eco friendly  Organic   Non Toxic   Skin Saf</t>
  </si>
  <si>
    <t>B09P4ZHGV8</t>
  </si>
  <si>
    <t>FC-LIME-5L</t>
  </si>
  <si>
    <t>FG Floor Cleaner 5 Litre Lime &amp; Lemongrass</t>
  </si>
  <si>
    <t>IMPHAL</t>
  </si>
  <si>
    <t>MANIPUR</t>
  </si>
  <si>
    <t>14ALYPT3035F1ZT</t>
  </si>
  <si>
    <t>PLAY 7</t>
  </si>
  <si>
    <t>bd4adf5d04f0d873106e0630a07cb1b90ee887f520ceac1414401e9b59955bac</t>
  </si>
  <si>
    <t>IN-9144</t>
  </si>
  <si>
    <t>404-8920355-1655550</t>
  </si>
  <si>
    <t>A06773023R929KO12YPZ1</t>
  </si>
  <si>
    <t xml:space="preserve">Koparo Natural Laundry Liquid Detergent   2 Litres   Lily   Vanilla Fragrance   Top Load  Front Load Washing Machine   Hand Wash Friendly   Organic  </t>
  </si>
  <si>
    <t>B0BD8QCJFL</t>
  </si>
  <si>
    <t>LLQFCLV-1.8L</t>
  </si>
  <si>
    <t>FG Laundry Liquid 2 Litre Fresh Cotton, Lilly &amp; Vanilla</t>
  </si>
  <si>
    <t>36ERJPS2288N1ZT</t>
  </si>
  <si>
    <t>M s  Whip and Stir Media</t>
  </si>
  <si>
    <t>80845690120fcec33862118b40840409e5a3dd1dd2806932193a141a64b794da</t>
  </si>
  <si>
    <t>IN-9311</t>
  </si>
  <si>
    <t>402-0347247-5754756</t>
  </si>
  <si>
    <t>A084686021PAYP8ULDWBV</t>
  </si>
  <si>
    <t>27AAECI2565D2ZP</t>
  </si>
  <si>
    <t>IceKube Media Pvt  Ltd</t>
  </si>
  <si>
    <t>318e422aea44a206222d3f82cdad1673a31553bb92dd18f7818be58b3e8cf5df</t>
  </si>
  <si>
    <t>IN-9243</t>
  </si>
  <si>
    <t>404-0881374-3512368</t>
  </si>
  <si>
    <t>A0020273WQBQ785RH7T9</t>
  </si>
  <si>
    <t>Koparo Natural Hand Wash Liquid   5 Litres   Aloe   Green Tea Fragrance   Ph Balanced Infused With Glycerin   Tea Tree Oil Germ Protection  Safe For A</t>
  </si>
  <si>
    <t>B09Y9CJBLT</t>
  </si>
  <si>
    <t>HW-ALOE-5L</t>
  </si>
  <si>
    <t>FG Handwash 5 Litre Aloe &amp; Green Tea</t>
  </si>
  <si>
    <t>29AAGFL9001J1Z5</t>
  </si>
  <si>
    <t>VAMA RETREATS LLP</t>
  </si>
  <si>
    <t>Koparo Natural Disinfectant Floor Cleaner Liquid   3 Litres   Jasmine Fragrance   Tile   Marble Cleaner   Eco friendly  Organic   Non Toxic   Skin Saf</t>
  </si>
  <si>
    <t>B0CZTVD3M7</t>
  </si>
  <si>
    <t>BB-82F6-CB35</t>
  </si>
  <si>
    <t>FG Floor Cleaner 3 Litre Jasmine &amp; Rose</t>
  </si>
  <si>
    <t>Koparo Natural Laundry Liquid Detergent   5 Litres   Lavender Fragrance   Top Load  Front Load Washing Machine   Hand Wash Friendly   Organic   Eco Fr</t>
  </si>
  <si>
    <t>B09P82DSVL</t>
  </si>
  <si>
    <t>LLQ-5L</t>
  </si>
  <si>
    <t>FG Laundry Liquid 5 Litre Lavender</t>
  </si>
  <si>
    <t>IN-9380</t>
  </si>
  <si>
    <t>408-2415951-8303528</t>
  </si>
  <si>
    <t>A01261032BHALXOJUUJSA</t>
  </si>
  <si>
    <t>Koparo Natural Furniture Cleaner   Conditioner Spray   300 ml   3 in 1 Clean  Condition   Protect Wooden Items   Plant Based   Biodegradable  Non Toxi</t>
  </si>
  <si>
    <t>B09TB7379Y</t>
  </si>
  <si>
    <t>FRC-FBA</t>
  </si>
  <si>
    <t>FG Furniture Cleaner 300 Ml</t>
  </si>
  <si>
    <t>29AARFA0760G1ZC</t>
  </si>
  <si>
    <t>Swiftin solutions llp</t>
  </si>
  <si>
    <t>263f02a798380bf6a77659a1b4bad9e4e731fb08d0e0a50e80fa711a5dd728d0</t>
  </si>
  <si>
    <t>IN-9400</t>
  </si>
  <si>
    <t>408-1416808-2457168</t>
  </si>
  <si>
    <t>A04908982MBK5KZYS9OW0</t>
  </si>
  <si>
    <t>CHIKKAMAGALURU</t>
  </si>
  <si>
    <t>29AAKCC0383M1Z7</t>
  </si>
  <si>
    <t>COFFEE ADDICT PRIVATE LIMITED</t>
  </si>
  <si>
    <t>020bcdd5d048fae573e45c5135dff53516d9b0579d85cf95a9ff287d83162529</t>
  </si>
  <si>
    <t>24ABGCS4796R1ZC</t>
  </si>
  <si>
    <t>AMD2-381</t>
  </si>
  <si>
    <t>402-3823952-7069907</t>
  </si>
  <si>
    <t>A10333461FOWRU7RTL8C7</t>
  </si>
  <si>
    <t>Koparo Magic Eraser  Pack of 4    Multi Purpose and Durable Cleaning Sponge for Home  Bathroom  Office   Chemical Free  Anti Bacterial  Scratch Resist</t>
  </si>
  <si>
    <t>B0C37LG1LH</t>
  </si>
  <si>
    <t>MAGICERASER-4-FBA</t>
  </si>
  <si>
    <t>FG Magic Eraser Pack of 4</t>
  </si>
  <si>
    <t>Ahmedabad</t>
  </si>
  <si>
    <t>GUJARAT</t>
  </si>
  <si>
    <t>AMD2</t>
  </si>
  <si>
    <t>2c7f983b127998c8d26930c58aa3de696f10fbfa54a50b1ca2c3f518fb1521b4</t>
  </si>
  <si>
    <t>27ABGCS4796R1Z6</t>
  </si>
  <si>
    <t>BOM5-433</t>
  </si>
  <si>
    <t>404-8437267-6424333</t>
  </si>
  <si>
    <t>A091234129PULLBZS4VOI</t>
  </si>
  <si>
    <t>Thane</t>
  </si>
  <si>
    <t>BOM5</t>
  </si>
  <si>
    <t>27AACPM6422C2Z2</t>
  </si>
  <si>
    <t>WINDSOR SECURITIES</t>
  </si>
  <si>
    <t>8074a591bb272af569e37715d49d0d73c0c0c25ef84ff1262a6dc53dff4bd94e</t>
  </si>
  <si>
    <t>29ABGCS4796R1Z2</t>
  </si>
  <si>
    <t>BLR7-364</t>
  </si>
  <si>
    <t>405-3822923-0143528</t>
  </si>
  <si>
    <t>A0813254F60PEDPYV84F</t>
  </si>
  <si>
    <t>Bangalore</t>
  </si>
  <si>
    <t>MYSURU</t>
  </si>
  <si>
    <t>BLR7</t>
  </si>
  <si>
    <t>Sirsi</t>
  </si>
  <si>
    <t>29AARFT8839P1ZQ</t>
  </si>
  <si>
    <t>TECHIETECH IT SERVICES LLP</t>
  </si>
  <si>
    <t>be6a47239fb5ede44f5d4ce44091c9086d324326976455b1132a67735337788b</t>
  </si>
  <si>
    <t>Vch Date</t>
  </si>
  <si>
    <t>Vch Type</t>
  </si>
  <si>
    <t>Vch No.</t>
  </si>
  <si>
    <t>Ref No.</t>
  </si>
  <si>
    <t>Ref Date</t>
  </si>
  <si>
    <t>Party Ledger</t>
  </si>
  <si>
    <t>Sales Ledger</t>
  </si>
  <si>
    <t>Stock Item</t>
  </si>
  <si>
    <t>Rate</t>
  </si>
  <si>
    <t>Amount</t>
  </si>
  <si>
    <t>Rate Per Piece</t>
  </si>
  <si>
    <t>CGST 0.09</t>
  </si>
  <si>
    <t>SGST 0.09</t>
  </si>
  <si>
    <t>IGST 0.18</t>
  </si>
  <si>
    <t>31/01/25</t>
  </si>
  <si>
    <t>Ledger</t>
  </si>
  <si>
    <t>34059090</t>
  </si>
  <si>
    <t>34022090</t>
  </si>
  <si>
    <t>34029099</t>
  </si>
  <si>
    <t/>
  </si>
  <si>
    <t>39211400</t>
  </si>
  <si>
    <t>63071090</t>
  </si>
  <si>
    <t>34011990</t>
  </si>
  <si>
    <t>34029011</t>
  </si>
  <si>
    <t>34029092</t>
  </si>
  <si>
    <t>34013090</t>
  </si>
  <si>
    <t>39249090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</si>
</sst>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33"/>
  <sheetFormatPr defaultRowHeight="15" outlineLevelRow="0" outlineLevelCol="0" x14ac:dyDescent="55"/>
  <cols>
    <col min="1" max="102" width="22" customWidth="1"/>
  </cols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 t="s">
        <v>102</v>
      </c>
      <c r="B2" t="s">
        <v>103</v>
      </c>
      <c r="C2">
        <v>46029.860127314816</v>
      </c>
      <c r="D2" t="s">
        <v>104</v>
      </c>
      <c r="E2" t="s">
        <v>105</v>
      </c>
      <c r="F2" t="s">
        <v>106</v>
      </c>
      <c r="G2">
        <v>46029.92084490741</v>
      </c>
      <c r="H2">
        <v>46029.85649305556</v>
      </c>
      <c r="I2">
        <v>546812386858</v>
      </c>
      <c r="J2">
        <v>1</v>
      </c>
      <c r="K2" t="s">
        <v>107</v>
      </c>
      <c r="L2" t="s">
        <v>108</v>
      </c>
      <c r="M2">
        <v>34059090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114</v>
      </c>
      <c r="T2">
        <v>110061</v>
      </c>
      <c r="U2" t="s">
        <v>115</v>
      </c>
      <c r="V2" t="s">
        <v>116</v>
      </c>
      <c r="W2" t="s">
        <v>114</v>
      </c>
      <c r="X2">
        <v>122413</v>
      </c>
      <c r="Y2" t="s">
        <v>112</v>
      </c>
      <c r="Z2" t="s">
        <v>113</v>
      </c>
      <c r="AA2" t="s">
        <v>117</v>
      </c>
      <c r="AB2" t="s">
        <v>118</v>
      </c>
      <c r="AC2" t="s">
        <v>114</v>
      </c>
      <c r="AD2">
        <v>110049</v>
      </c>
      <c r="AE2">
        <v>266.31</v>
      </c>
      <c r="AF2">
        <v>225.69</v>
      </c>
      <c r="AG2">
        <v>40.62</v>
      </c>
      <c r="AH2">
        <v>0</v>
      </c>
      <c r="AI2">
        <v>0</v>
      </c>
      <c r="AJ2">
        <v>0</v>
      </c>
      <c r="AK2">
        <v>0.18</v>
      </c>
      <c r="AL2">
        <v>0</v>
      </c>
      <c r="AM2">
        <v>266.31</v>
      </c>
      <c r="AN2">
        <v>225.69</v>
      </c>
      <c r="AO2">
        <v>0</v>
      </c>
      <c r="AP2">
        <v>0</v>
      </c>
      <c r="AQ2">
        <v>0</v>
      </c>
      <c r="AR2">
        <v>40.62</v>
      </c>
      <c r="AS2">
        <v>0</v>
      </c>
      <c r="AT2">
        <f>AH2+AI2+AK2</f>
      </c>
      <c r="AU2">
        <f>AF2-AV2</f>
      </c>
      <c r="AV2">
        <f>BE2+BL2+BY2+BV2</f>
      </c>
      <c r="AW2">
        <f>IF(V2=Z2,AU2*AH2,0)</f>
      </c>
      <c r="AX2">
        <f>IF(V2=Z2,AU2*AI2,0)</f>
      </c>
      <c r="AY2">
        <f>IF(V2&lt;&gt;Z2,AU2*AK2,0)</f>
      </c>
      <c r="AZ2">
        <f>IF(V2=Z2,AV2*AT2,0)</f>
      </c>
      <c r="BA2">
        <f>IF(V2=Z2,AV2*AT2,0)</f>
      </c>
      <c r="BB2">
        <f>IF(V2&lt;&gt;Z2,AV2*AT2,0)</f>
      </c>
      <c r="BC2">
        <f>AU2+AV2+AW2+AX2+AY2+AZ2+BA2+BB2-CB2-CD2-CH2</f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0.005</v>
      </c>
      <c r="CH2">
        <v>1.13</v>
      </c>
      <c r="CI2" t="s">
        <v>119</v>
      </c>
      <c r="CJ2" t="s">
        <v>120</v>
      </c>
      <c r="CK2" t="s">
        <v>121</v>
      </c>
      <c r="CL2" t="s">
        <v>122</v>
      </c>
      <c r="CM2" t="s">
        <v>123</v>
      </c>
      <c r="CN2" t="s">
        <v>114</v>
      </c>
      <c r="CO2">
        <v>211011</v>
      </c>
      <c r="CP2" t="s">
        <v>124</v>
      </c>
      <c r="CR2" t="s">
        <v>125</v>
      </c>
      <c r="CU2" t="s">
        <v>126</v>
      </c>
      <c r="CV2" t="s">
        <v>127</v>
      </c>
      <c r="CW2">
        <v>46029.63414351852</v>
      </c>
    </row>
    <row r="3" spans="1:102" x14ac:dyDescent="0.25">
      <c r="A3" t="s">
        <v>128</v>
      </c>
      <c r="B3" t="s">
        <v>129</v>
      </c>
      <c r="C3">
        <v>46024.51755787037</v>
      </c>
      <c r="D3" t="s">
        <v>104</v>
      </c>
      <c r="E3" t="s">
        <v>130</v>
      </c>
      <c r="F3" t="s">
        <v>131</v>
      </c>
      <c r="G3">
        <v>46025.50063657408</v>
      </c>
      <c r="H3">
        <v>46024.49835648148</v>
      </c>
      <c r="I3">
        <v>546075080466</v>
      </c>
      <c r="J3">
        <v>1</v>
      </c>
      <c r="K3" t="s">
        <v>132</v>
      </c>
      <c r="L3" t="s">
        <v>133</v>
      </c>
      <c r="M3">
        <v>34022090</v>
      </c>
      <c r="N3" t="s">
        <v>134</v>
      </c>
      <c r="O3" t="s">
        <v>135</v>
      </c>
      <c r="P3" t="s">
        <v>111</v>
      </c>
      <c r="Q3" t="s">
        <v>112</v>
      </c>
      <c r="R3" t="s">
        <v>113</v>
      </c>
      <c r="S3" t="s">
        <v>114</v>
      </c>
      <c r="T3">
        <v>110061</v>
      </c>
      <c r="U3" t="s">
        <v>112</v>
      </c>
      <c r="V3" t="s">
        <v>113</v>
      </c>
      <c r="W3" t="s">
        <v>114</v>
      </c>
      <c r="X3">
        <v>110061</v>
      </c>
      <c r="Y3" t="s">
        <v>136</v>
      </c>
      <c r="Z3" t="s">
        <v>137</v>
      </c>
      <c r="AA3" t="s">
        <v>117</v>
      </c>
      <c r="AB3" t="s">
        <v>118</v>
      </c>
      <c r="AC3" t="s">
        <v>114</v>
      </c>
      <c r="AD3">
        <v>600028</v>
      </c>
      <c r="AE3">
        <v>687.06</v>
      </c>
      <c r="AF3">
        <v>582.25</v>
      </c>
      <c r="AG3">
        <v>104.81</v>
      </c>
      <c r="AH3">
        <v>0</v>
      </c>
      <c r="AI3">
        <v>0</v>
      </c>
      <c r="AJ3">
        <v>0</v>
      </c>
      <c r="AK3">
        <v>0.18</v>
      </c>
      <c r="AL3">
        <v>0</v>
      </c>
      <c r="AM3">
        <v>687.06</v>
      </c>
      <c r="AN3">
        <v>582.25</v>
      </c>
      <c r="AO3">
        <v>0</v>
      </c>
      <c r="AP3">
        <v>0</v>
      </c>
      <c r="AQ3">
        <v>0</v>
      </c>
      <c r="AR3">
        <v>104.81</v>
      </c>
      <c r="AS3">
        <v>0</v>
      </c>
      <c r="AT3">
        <f>AH3+AI3+AK3</f>
      </c>
      <c r="AU3">
        <f>AF3-AV3</f>
      </c>
      <c r="AV3">
        <f>BE3+BL3+BY3+BV3</f>
      </c>
      <c r="AW3">
        <f>IF(V3=Z3,AU3*AH3,0)</f>
      </c>
      <c r="AX3">
        <f>IF(V3=Z3,AU3*AI3,0)</f>
      </c>
      <c r="AY3">
        <f>IF(V3&lt;&gt;Z3,AU3*AK3,0)</f>
      </c>
      <c r="AZ3">
        <f>IF(V3=Z3,AV3*AT3,0)</f>
      </c>
      <c r="BA3">
        <f>IF(V3=Z3,AV3*AT3,0)</f>
      </c>
      <c r="BB3">
        <f>IF(V3&lt;&gt;Z3,AV3*AT3,0)</f>
      </c>
      <c r="BC3">
        <f>AU3+AV3+AW3+AX3+AY3+AZ3+BA3+BB3-CB3-CD3-CH3</f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0.005</v>
      </c>
      <c r="CH3">
        <v>2.91</v>
      </c>
      <c r="CJ3" t="s">
        <v>138</v>
      </c>
      <c r="CK3" t="s">
        <v>139</v>
      </c>
      <c r="CL3" t="s">
        <v>136</v>
      </c>
      <c r="CM3" t="s">
        <v>137</v>
      </c>
      <c r="CN3" t="s">
        <v>114</v>
      </c>
      <c r="CO3">
        <v>600001</v>
      </c>
      <c r="CP3" t="s">
        <v>140</v>
      </c>
      <c r="CR3" t="s">
        <v>141</v>
      </c>
      <c r="CU3" t="s">
        <v>142</v>
      </c>
      <c r="CV3" t="s">
        <v>127</v>
      </c>
      <c r="CW3">
        <v>46024.288310185184</v>
      </c>
    </row>
    <row r="4" spans="1:102" x14ac:dyDescent="0.25">
      <c r="A4" t="s">
        <v>128</v>
      </c>
      <c r="B4" t="s">
        <v>143</v>
      </c>
      <c r="C4">
        <v>46026.504166666666</v>
      </c>
      <c r="D4" t="s">
        <v>104</v>
      </c>
      <c r="E4" t="s">
        <v>144</v>
      </c>
      <c r="F4" t="s">
        <v>145</v>
      </c>
      <c r="G4">
        <v>46028.694027777776</v>
      </c>
      <c r="H4">
        <v>46026.48402777778</v>
      </c>
      <c r="I4">
        <v>546083695280</v>
      </c>
      <c r="J4">
        <v>1</v>
      </c>
      <c r="K4" t="s">
        <v>146</v>
      </c>
      <c r="L4" t="s">
        <v>147</v>
      </c>
      <c r="M4">
        <v>34029099</v>
      </c>
      <c r="N4" t="s">
        <v>148</v>
      </c>
      <c r="O4" t="s">
        <v>149</v>
      </c>
      <c r="P4" t="s">
        <v>111</v>
      </c>
      <c r="Q4" t="s">
        <v>112</v>
      </c>
      <c r="R4" t="s">
        <v>113</v>
      </c>
      <c r="S4" t="s">
        <v>114</v>
      </c>
      <c r="T4">
        <v>110061</v>
      </c>
      <c r="U4" t="s">
        <v>112</v>
      </c>
      <c r="V4" t="s">
        <v>113</v>
      </c>
      <c r="W4" t="s">
        <v>114</v>
      </c>
      <c r="X4">
        <v>110061</v>
      </c>
      <c r="Y4" t="s">
        <v>150</v>
      </c>
      <c r="Z4" t="s">
        <v>151</v>
      </c>
      <c r="AA4" t="s">
        <v>117</v>
      </c>
      <c r="AB4" t="s">
        <v>118</v>
      </c>
      <c r="AC4" t="s">
        <v>114</v>
      </c>
      <c r="AD4">
        <v>403517</v>
      </c>
      <c r="AE4">
        <v>209.88</v>
      </c>
      <c r="AF4">
        <v>177.86</v>
      </c>
      <c r="AG4">
        <v>32.02</v>
      </c>
      <c r="AH4">
        <v>0</v>
      </c>
      <c r="AI4">
        <v>0</v>
      </c>
      <c r="AJ4">
        <v>0</v>
      </c>
      <c r="AK4">
        <v>0.18</v>
      </c>
      <c r="AL4">
        <v>0</v>
      </c>
      <c r="AM4">
        <v>209.88</v>
      </c>
      <c r="AN4">
        <v>177.86</v>
      </c>
      <c r="AO4">
        <v>0</v>
      </c>
      <c r="AP4">
        <v>0</v>
      </c>
      <c r="AQ4">
        <v>0</v>
      </c>
      <c r="AR4">
        <v>32.02</v>
      </c>
      <c r="AS4">
        <v>0</v>
      </c>
      <c r="AT4">
        <f>AH4+AI4+AK4</f>
      </c>
      <c r="AU4">
        <f>AF4-AV4</f>
      </c>
      <c r="AV4">
        <f>BE4+BL4+BY4+BV4</f>
      </c>
      <c r="AW4">
        <f>IF(V4=Z4,AU4*AH4,0)</f>
      </c>
      <c r="AX4">
        <f>IF(V4=Z4,AU4*AI4,0)</f>
      </c>
      <c r="AY4">
        <f>IF(V4&lt;&gt;Z4,AU4*AK4,0)</f>
      </c>
      <c r="AZ4">
        <f>IF(V4=Z4,AV4*AT4,0)</f>
      </c>
      <c r="BA4">
        <f>IF(V4=Z4,AV4*AT4,0)</f>
      </c>
      <c r="BB4">
        <f>IF(V4&lt;&gt;Z4,AV4*AT4,0)</f>
      </c>
      <c r="BC4">
        <f>AU4+AV4+AW4+AX4+AY4+AZ4+BA4+BB4-CB4-CD4-CH4</f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0.005</v>
      </c>
      <c r="CH4">
        <v>0.89</v>
      </c>
      <c r="CJ4" t="s">
        <v>138</v>
      </c>
      <c r="CK4" t="s">
        <v>121</v>
      </c>
      <c r="CL4" t="s">
        <v>152</v>
      </c>
      <c r="CM4" t="s">
        <v>153</v>
      </c>
      <c r="CN4" t="s">
        <v>114</v>
      </c>
      <c r="CO4">
        <v>400053</v>
      </c>
      <c r="CP4" t="s">
        <v>154</v>
      </c>
      <c r="CR4" t="s">
        <v>155</v>
      </c>
      <c r="CU4" t="s">
        <v>156</v>
      </c>
      <c r="CV4" t="s">
        <v>127</v>
      </c>
      <c r="CW4">
        <v>46026.27511574074</v>
      </c>
    </row>
    <row r="5" spans="1:102" x14ac:dyDescent="0.25">
      <c r="A5" t="s">
        <v>128</v>
      </c>
      <c r="B5" t="s">
        <v>157</v>
      </c>
      <c r="C5">
        <v>46028.80142361111</v>
      </c>
      <c r="D5" t="s">
        <v>104</v>
      </c>
      <c r="E5" t="s">
        <v>158</v>
      </c>
      <c r="F5" t="s">
        <v>159</v>
      </c>
      <c r="G5">
        <v>46029.500810185185</v>
      </c>
      <c r="H5">
        <v>46028.78498842593</v>
      </c>
      <c r="I5">
        <v>546605354154</v>
      </c>
      <c r="J5">
        <v>1</v>
      </c>
      <c r="K5" t="s">
        <v>146</v>
      </c>
      <c r="L5" t="s">
        <v>147</v>
      </c>
      <c r="M5">
        <v>34029099</v>
      </c>
      <c r="N5" t="s">
        <v>148</v>
      </c>
      <c r="O5" t="s">
        <v>149</v>
      </c>
      <c r="P5" t="s">
        <v>111</v>
      </c>
      <c r="Q5" t="s">
        <v>112</v>
      </c>
      <c r="R5" t="s">
        <v>113</v>
      </c>
      <c r="S5" t="s">
        <v>114</v>
      </c>
      <c r="T5">
        <v>110061</v>
      </c>
      <c r="U5" t="s">
        <v>112</v>
      </c>
      <c r="V5" t="s">
        <v>113</v>
      </c>
      <c r="W5" t="s">
        <v>114</v>
      </c>
      <c r="X5">
        <v>110061</v>
      </c>
      <c r="Y5" t="s">
        <v>160</v>
      </c>
      <c r="Z5" t="s">
        <v>161</v>
      </c>
      <c r="AA5" t="s">
        <v>117</v>
      </c>
      <c r="AB5" t="s">
        <v>118</v>
      </c>
      <c r="AC5" t="s">
        <v>114</v>
      </c>
      <c r="AD5">
        <v>700154</v>
      </c>
      <c r="AE5">
        <v>209.88</v>
      </c>
      <c r="AF5">
        <v>177.86</v>
      </c>
      <c r="AG5">
        <v>32.02</v>
      </c>
      <c r="AH5">
        <v>0</v>
      </c>
      <c r="AI5">
        <v>0</v>
      </c>
      <c r="AJ5">
        <v>0</v>
      </c>
      <c r="AK5">
        <v>0.18</v>
      </c>
      <c r="AL5">
        <v>0</v>
      </c>
      <c r="AM5">
        <v>209.88</v>
      </c>
      <c r="AN5">
        <v>177.86</v>
      </c>
      <c r="AO5">
        <v>0</v>
      </c>
      <c r="AP5">
        <v>0</v>
      </c>
      <c r="AQ5">
        <v>0</v>
      </c>
      <c r="AR5">
        <v>32.02</v>
      </c>
      <c r="AS5">
        <v>0</v>
      </c>
      <c r="AT5">
        <f>AH5+AI5+AK5</f>
      </c>
      <c r="AU5">
        <f>AF5-AV5</f>
      </c>
      <c r="AV5">
        <f>BE5+BL5+BY5+BV5</f>
      </c>
      <c r="AW5">
        <f>IF(V5=Z5,AU5*AH5,0)</f>
      </c>
      <c r="AX5">
        <f>IF(V5=Z5,AU5*AI5,0)</f>
      </c>
      <c r="AY5">
        <f>IF(V5&lt;&gt;Z5,AU5*AK5,0)</f>
      </c>
      <c r="AZ5">
        <f>IF(V5=Z5,AV5*AT5,0)</f>
      </c>
      <c r="BA5">
        <f>IF(V5=Z5,AV5*AT5,0)</f>
      </c>
      <c r="BB5">
        <f>IF(V5&lt;&gt;Z5,AV5*AT5,0)</f>
      </c>
      <c r="BC5">
        <f>AU5+AV5+AW5+AX5+AY5+AZ5+BA5+BB5-CB5-CD5-CH5</f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0.005</v>
      </c>
      <c r="CH5">
        <v>0.89</v>
      </c>
      <c r="CJ5" t="s">
        <v>138</v>
      </c>
      <c r="CK5" t="s">
        <v>121</v>
      </c>
      <c r="CL5" t="s">
        <v>160</v>
      </c>
      <c r="CM5" t="s">
        <v>161</v>
      </c>
      <c r="CN5" t="s">
        <v>114</v>
      </c>
      <c r="CO5">
        <v>700154</v>
      </c>
      <c r="CP5" t="s">
        <v>162</v>
      </c>
      <c r="CR5" t="s">
        <v>163</v>
      </c>
      <c r="CU5" t="s">
        <v>164</v>
      </c>
      <c r="CV5" t="s">
        <v>127</v>
      </c>
      <c r="CW5">
        <v>46028.57233796296</v>
      </c>
    </row>
    <row r="6" spans="1:102" x14ac:dyDescent="0.25">
      <c r="A6" t="s">
        <v>128</v>
      </c>
      <c r="B6" t="s">
        <v>165</v>
      </c>
      <c r="C6">
        <v>46029.860081018516</v>
      </c>
      <c r="D6" t="s">
        <v>104</v>
      </c>
      <c r="E6" t="s">
        <v>166</v>
      </c>
      <c r="F6" t="s">
        <v>167</v>
      </c>
      <c r="G6">
        <v>46029.967997685184</v>
      </c>
      <c r="H6">
        <v>46029.85649305556</v>
      </c>
      <c r="I6">
        <v>546605888281</v>
      </c>
      <c r="J6">
        <v>1</v>
      </c>
      <c r="K6" t="s">
        <v>168</v>
      </c>
      <c r="L6" t="s">
        <v>169</v>
      </c>
      <c r="M6">
        <v>34059090</v>
      </c>
      <c r="N6" t="s">
        <v>170</v>
      </c>
      <c r="O6" t="s">
        <v>171</v>
      </c>
      <c r="P6" t="s">
        <v>111</v>
      </c>
      <c r="Q6" t="s">
        <v>112</v>
      </c>
      <c r="R6" t="s">
        <v>113</v>
      </c>
      <c r="S6" t="s">
        <v>114</v>
      </c>
      <c r="T6">
        <v>110061</v>
      </c>
      <c r="U6" t="s">
        <v>112</v>
      </c>
      <c r="V6" t="s">
        <v>113</v>
      </c>
      <c r="W6" t="s">
        <v>114</v>
      </c>
      <c r="X6">
        <v>110044</v>
      </c>
      <c r="Y6" t="s">
        <v>112</v>
      </c>
      <c r="Z6" t="s">
        <v>113</v>
      </c>
      <c r="AA6" t="s">
        <v>172</v>
      </c>
      <c r="AB6" t="s">
        <v>173</v>
      </c>
      <c r="AC6" t="s">
        <v>114</v>
      </c>
      <c r="AD6">
        <v>110049</v>
      </c>
      <c r="AE6">
        <v>266.31</v>
      </c>
      <c r="AF6">
        <v>225.69</v>
      </c>
      <c r="AG6">
        <v>40.62</v>
      </c>
      <c r="AH6">
        <v>0</v>
      </c>
      <c r="AI6">
        <v>0</v>
      </c>
      <c r="AJ6">
        <v>0</v>
      </c>
      <c r="AK6">
        <v>0.18</v>
      </c>
      <c r="AL6">
        <v>0</v>
      </c>
      <c r="AM6">
        <v>266.31</v>
      </c>
      <c r="AN6">
        <v>225.69</v>
      </c>
      <c r="AO6">
        <v>0</v>
      </c>
      <c r="AP6">
        <v>0</v>
      </c>
      <c r="AQ6">
        <v>0</v>
      </c>
      <c r="AR6">
        <v>40.62</v>
      </c>
      <c r="AS6">
        <v>0</v>
      </c>
      <c r="AT6">
        <f>AH6+AI6+AK6</f>
      </c>
      <c r="AU6">
        <f>AF6-AV6</f>
      </c>
      <c r="AV6">
        <f>BE6+BL6+BY6+BV6</f>
      </c>
      <c r="AW6">
        <f>IF(V6=Z6,AU6*AH6,0)</f>
      </c>
      <c r="AX6">
        <f>IF(V6=Z6,AU6*AI6,0)</f>
      </c>
      <c r="AY6">
        <f>IF(V6&lt;&gt;Z6,AU6*AK6,0)</f>
      </c>
      <c r="AZ6">
        <f>IF(V6=Z6,AV6*AT6,0)</f>
      </c>
      <c r="BA6">
        <f>IF(V6=Z6,AV6*AT6,0)</f>
      </c>
      <c r="BB6">
        <f>IF(V6&lt;&gt;Z6,AV6*AT6,0)</f>
      </c>
      <c r="BC6">
        <f>AU6+AV6+AW6+AX6+AY6+AZ6+BA6+BB6-CB6-CD6-CH6</f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0.005</v>
      </c>
      <c r="CH6">
        <v>1.13</v>
      </c>
      <c r="CI6" t="s">
        <v>174</v>
      </c>
      <c r="CJ6" t="s">
        <v>120</v>
      </c>
      <c r="CK6" t="s">
        <v>121</v>
      </c>
      <c r="CL6" t="s">
        <v>122</v>
      </c>
      <c r="CM6" t="s">
        <v>123</v>
      </c>
      <c r="CN6" t="s">
        <v>114</v>
      </c>
      <c r="CO6">
        <v>211011</v>
      </c>
      <c r="CP6" t="s">
        <v>124</v>
      </c>
      <c r="CR6" t="s">
        <v>125</v>
      </c>
      <c r="CU6" t="s">
        <v>175</v>
      </c>
      <c r="CV6" t="s">
        <v>127</v>
      </c>
      <c r="CW6">
        <v>46029.63136574074</v>
      </c>
    </row>
    <row r="7" spans="1:102" x14ac:dyDescent="0.25">
      <c r="A7" t="s">
        <v>128</v>
      </c>
      <c r="B7" t="s">
        <v>176</v>
      </c>
      <c r="C7">
        <v>46029.5946875</v>
      </c>
      <c r="D7" t="s">
        <v>104</v>
      </c>
      <c r="E7" t="s">
        <v>177</v>
      </c>
      <c r="F7" t="s">
        <v>178</v>
      </c>
      <c r="G7">
        <v>46030.52327546296</v>
      </c>
      <c r="H7">
        <v>46029.575219907405</v>
      </c>
      <c r="I7">
        <v>546835918153</v>
      </c>
      <c r="J7">
        <v>1</v>
      </c>
      <c r="K7" t="s">
        <v>179</v>
      </c>
      <c r="L7" t="s">
        <v>180</v>
      </c>
      <c r="N7" t="s">
        <v>181</v>
      </c>
      <c r="O7" t="s">
        <v>182</v>
      </c>
      <c r="P7" t="s">
        <v>111</v>
      </c>
      <c r="Q7" t="s">
        <v>112</v>
      </c>
      <c r="R7" t="s">
        <v>113</v>
      </c>
      <c r="S7" t="s">
        <v>114</v>
      </c>
      <c r="T7">
        <v>110061</v>
      </c>
      <c r="U7" t="s">
        <v>112</v>
      </c>
      <c r="V7" t="s">
        <v>113</v>
      </c>
      <c r="W7" t="s">
        <v>114</v>
      </c>
      <c r="X7">
        <v>110061</v>
      </c>
      <c r="Y7" t="s">
        <v>183</v>
      </c>
      <c r="Z7" t="s">
        <v>153</v>
      </c>
      <c r="AA7" t="s">
        <v>117</v>
      </c>
      <c r="AB7" t="s">
        <v>118</v>
      </c>
      <c r="AC7" t="s">
        <v>114</v>
      </c>
      <c r="AD7">
        <v>401107</v>
      </c>
      <c r="AE7">
        <v>212.85</v>
      </c>
      <c r="AF7">
        <v>180.38</v>
      </c>
      <c r="AG7">
        <v>32.47</v>
      </c>
      <c r="AH7">
        <v>0</v>
      </c>
      <c r="AI7">
        <v>0</v>
      </c>
      <c r="AJ7">
        <v>0</v>
      </c>
      <c r="AK7">
        <v>0.18</v>
      </c>
      <c r="AL7">
        <v>0</v>
      </c>
      <c r="AM7">
        <v>212.85</v>
      </c>
      <c r="AN7">
        <v>180.38</v>
      </c>
      <c r="AO7">
        <v>0</v>
      </c>
      <c r="AP7">
        <v>0</v>
      </c>
      <c r="AQ7">
        <v>0</v>
      </c>
      <c r="AR7">
        <v>32.47</v>
      </c>
      <c r="AS7">
        <v>0</v>
      </c>
      <c r="AT7">
        <f>AH7+AI7+AK7</f>
      </c>
      <c r="AU7">
        <f>AF7-AV7</f>
      </c>
      <c r="AV7">
        <f>BE7+BL7+BY7+BV7</f>
      </c>
      <c r="AW7">
        <f>IF(V7=Z7,AU7*AH7,0)</f>
      </c>
      <c r="AX7">
        <f>IF(V7=Z7,AU7*AI7,0)</f>
      </c>
      <c r="AY7">
        <f>IF(V7&lt;&gt;Z7,AU7*AK7,0)</f>
      </c>
      <c r="AZ7">
        <f>IF(V7=Z7,AV7*AT7,0)</f>
      </c>
      <c r="BA7">
        <f>IF(V7=Z7,AV7*AT7,0)</f>
      </c>
      <c r="BB7">
        <f>IF(V7&lt;&gt;Z7,AV7*AT7,0)</f>
      </c>
      <c r="BC7">
        <f>AU7+AV7+AW7+AX7+AY7+AZ7+BA7+BB7-CB7-CD7-CH7</f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0.005</v>
      </c>
      <c r="CH7">
        <v>0.9</v>
      </c>
      <c r="CJ7" t="s">
        <v>138</v>
      </c>
      <c r="CK7" t="s">
        <v>184</v>
      </c>
      <c r="CL7" t="s">
        <v>183</v>
      </c>
      <c r="CM7" t="s">
        <v>153</v>
      </c>
      <c r="CN7" t="s">
        <v>114</v>
      </c>
      <c r="CO7">
        <v>401107</v>
      </c>
      <c r="CP7" t="s">
        <v>185</v>
      </c>
      <c r="CR7" t="s">
        <v>186</v>
      </c>
      <c r="CV7" t="s">
        <v>187</v>
      </c>
      <c r="CX7">
        <v>5002</v>
      </c>
    </row>
    <row r="8" spans="1:102" x14ac:dyDescent="0.25">
      <c r="A8" t="s">
        <v>128</v>
      </c>
      <c r="B8" t="s">
        <v>188</v>
      </c>
      <c r="C8">
        <v>46027.57625</v>
      </c>
      <c r="D8" t="s">
        <v>104</v>
      </c>
      <c r="E8" t="s">
        <v>189</v>
      </c>
      <c r="F8" t="s">
        <v>190</v>
      </c>
      <c r="G8">
        <v>46030.75090277778</v>
      </c>
      <c r="H8">
        <v>46027.55876157407</v>
      </c>
      <c r="I8">
        <v>545961152536</v>
      </c>
      <c r="J8">
        <v>12</v>
      </c>
      <c r="K8" t="s">
        <v>191</v>
      </c>
      <c r="L8" t="s">
        <v>192</v>
      </c>
      <c r="M8">
        <v>39211400</v>
      </c>
      <c r="N8" t="s">
        <v>193</v>
      </c>
      <c r="O8" t="s">
        <v>194</v>
      </c>
      <c r="P8" t="s">
        <v>111</v>
      </c>
      <c r="Q8" t="s">
        <v>112</v>
      </c>
      <c r="R8" t="s">
        <v>113</v>
      </c>
      <c r="S8" t="s">
        <v>114</v>
      </c>
      <c r="T8">
        <v>110061</v>
      </c>
      <c r="U8" t="s">
        <v>112</v>
      </c>
      <c r="V8" t="s">
        <v>113</v>
      </c>
      <c r="W8" t="s">
        <v>114</v>
      </c>
      <c r="X8">
        <v>110061</v>
      </c>
      <c r="Y8" t="s">
        <v>195</v>
      </c>
      <c r="Z8" t="s">
        <v>196</v>
      </c>
      <c r="AA8" t="s">
        <v>117</v>
      </c>
      <c r="AB8" t="s">
        <v>118</v>
      </c>
      <c r="AC8" t="s">
        <v>114</v>
      </c>
      <c r="AD8">
        <v>560071</v>
      </c>
      <c r="AE8">
        <v>3290.76</v>
      </c>
      <c r="AF8">
        <v>2788.68</v>
      </c>
      <c r="AG8">
        <v>502.08</v>
      </c>
      <c r="AH8">
        <v>0.09</v>
      </c>
      <c r="AI8">
        <v>0.09</v>
      </c>
      <c r="AJ8">
        <v>0</v>
      </c>
      <c r="AK8">
        <v>0</v>
      </c>
      <c r="AL8">
        <v>0</v>
      </c>
      <c r="AM8">
        <v>3290.76</v>
      </c>
      <c r="AN8">
        <v>2788.68</v>
      </c>
      <c r="AO8">
        <v>251.04</v>
      </c>
      <c r="AP8">
        <v>251.04</v>
      </c>
      <c r="AQ8">
        <v>0</v>
      </c>
      <c r="AR8">
        <v>0</v>
      </c>
      <c r="AS8">
        <v>0</v>
      </c>
      <c r="AT8">
        <f>AH8+AI8+AK8</f>
      </c>
      <c r="AU8">
        <f>AF8-AV8</f>
      </c>
      <c r="AV8">
        <f>BE8+BL8+BY8+BV8</f>
      </c>
      <c r="AW8">
        <f>IF(V8=Z8,AU8*AH8,0)</f>
      </c>
      <c r="AX8">
        <f>IF(V8=Z8,AU8*AI8,0)</f>
      </c>
      <c r="AY8">
        <f>IF(V8&lt;&gt;Z8,AU8*AK8,0)</f>
      </c>
      <c r="AZ8">
        <f>IF(V8=Z8,AV8*AT8,0)</f>
      </c>
      <c r="BA8">
        <f>IF(V8=Z8,AV8*AT8,0)</f>
      </c>
      <c r="BB8">
        <f>IF(V8&lt;&gt;Z8,AV8*AT8,0)</f>
      </c>
      <c r="BC8">
        <f>AU8+AV8+AW8+AX8+AY8+AZ8+BA8+BB8-CB8-CD8-CH8</f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0.0025</v>
      </c>
      <c r="CB8">
        <v>6.96</v>
      </c>
      <c r="CC8">
        <v>0.0025</v>
      </c>
      <c r="CD8">
        <v>6.96</v>
      </c>
      <c r="CE8">
        <v>0</v>
      </c>
      <c r="CF8">
        <v>0</v>
      </c>
      <c r="CG8">
        <v>0</v>
      </c>
      <c r="CH8">
        <v>0</v>
      </c>
      <c r="CJ8" t="s">
        <v>138</v>
      </c>
      <c r="CK8" t="s">
        <v>139</v>
      </c>
      <c r="CL8" t="s">
        <v>112</v>
      </c>
      <c r="CM8" t="s">
        <v>113</v>
      </c>
      <c r="CN8" t="s">
        <v>114</v>
      </c>
      <c r="CO8">
        <v>110087</v>
      </c>
      <c r="CP8" t="s">
        <v>197</v>
      </c>
      <c r="CR8" t="s">
        <v>198</v>
      </c>
      <c r="CU8" t="s">
        <v>199</v>
      </c>
      <c r="CV8" t="s">
        <v>127</v>
      </c>
      <c r="CW8">
        <v>46027.347337962965</v>
      </c>
    </row>
    <row r="9" spans="1:102" x14ac:dyDescent="0.25">
      <c r="A9" t="s">
        <v>128</v>
      </c>
      <c r="B9" t="s">
        <v>188</v>
      </c>
      <c r="C9">
        <v>46027.57625</v>
      </c>
      <c r="D9" t="s">
        <v>104</v>
      </c>
      <c r="E9" t="s">
        <v>189</v>
      </c>
      <c r="F9" t="s">
        <v>190</v>
      </c>
      <c r="G9">
        <v>46030.75090277778</v>
      </c>
      <c r="H9">
        <v>46027.55876157407</v>
      </c>
      <c r="I9">
        <v>546086155903</v>
      </c>
      <c r="J9">
        <v>12</v>
      </c>
      <c r="K9" t="s">
        <v>200</v>
      </c>
      <c r="L9" t="s">
        <v>201</v>
      </c>
      <c r="M9">
        <v>63071090</v>
      </c>
      <c r="N9" t="s">
        <v>202</v>
      </c>
      <c r="O9" t="s">
        <v>203</v>
      </c>
      <c r="P9" t="s">
        <v>111</v>
      </c>
      <c r="Q9" t="s">
        <v>112</v>
      </c>
      <c r="R9" t="s">
        <v>113</v>
      </c>
      <c r="S9" t="s">
        <v>114</v>
      </c>
      <c r="T9">
        <v>110061</v>
      </c>
      <c r="U9" t="s">
        <v>112</v>
      </c>
      <c r="V9" t="s">
        <v>113</v>
      </c>
      <c r="W9" t="s">
        <v>114</v>
      </c>
      <c r="X9">
        <v>110061</v>
      </c>
      <c r="Y9" t="s">
        <v>195</v>
      </c>
      <c r="Z9" t="s">
        <v>196</v>
      </c>
      <c r="AA9" t="s">
        <v>117</v>
      </c>
      <c r="AB9" t="s">
        <v>118</v>
      </c>
      <c r="AC9" t="s">
        <v>114</v>
      </c>
      <c r="AD9">
        <v>560071</v>
      </c>
      <c r="AE9">
        <v>3682.8</v>
      </c>
      <c r="AF9">
        <v>3120.96</v>
      </c>
      <c r="AG9">
        <v>561.84</v>
      </c>
      <c r="AH9">
        <v>0.09</v>
      </c>
      <c r="AI9">
        <v>0.09</v>
      </c>
      <c r="AJ9">
        <v>0</v>
      </c>
      <c r="AK9">
        <v>0</v>
      </c>
      <c r="AL9">
        <v>0</v>
      </c>
      <c r="AM9">
        <v>3682.8</v>
      </c>
      <c r="AN9">
        <v>3120.96</v>
      </c>
      <c r="AO9">
        <v>280.92</v>
      </c>
      <c r="AP9">
        <v>280.92</v>
      </c>
      <c r="AQ9">
        <v>0</v>
      </c>
      <c r="AR9">
        <v>0</v>
      </c>
      <c r="AS9">
        <v>0</v>
      </c>
      <c r="AT9">
        <f>AH9+AI9+AK9</f>
      </c>
      <c r="AU9">
        <f>AF9-AV9</f>
      </c>
      <c r="AV9">
        <f>BE9+BL9+BY9+BV9</f>
      </c>
      <c r="AW9">
        <f>IF(V9=Z9,AU9*AH9,0)</f>
      </c>
      <c r="AX9">
        <f>IF(V9=Z9,AU9*AI9,0)</f>
      </c>
      <c r="AY9">
        <f>IF(V9&lt;&gt;Z9,AU9*AK9,0)</f>
      </c>
      <c r="AZ9">
        <f>IF(V9=Z9,AV9*AT9,0)</f>
      </c>
      <c r="BA9">
        <f>IF(V9=Z9,AV9*AT9,0)</f>
      </c>
      <c r="BB9">
        <f>IF(V9&lt;&gt;Z9,AV9*AT9,0)</f>
      </c>
      <c r="BC9">
        <f>AU9+AV9+AW9+AX9+AY9+AZ9+BA9+BB9-CB9-CD9-CH9</f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0.0025</v>
      </c>
      <c r="CB9">
        <v>7.8</v>
      </c>
      <c r="CC9">
        <v>0.0025</v>
      </c>
      <c r="CD9">
        <v>7.8</v>
      </c>
      <c r="CE9">
        <v>0</v>
      </c>
      <c r="CF9">
        <v>0</v>
      </c>
      <c r="CG9">
        <v>0</v>
      </c>
      <c r="CH9">
        <v>0</v>
      </c>
      <c r="CJ9" t="s">
        <v>138</v>
      </c>
      <c r="CK9" t="s">
        <v>139</v>
      </c>
      <c r="CL9" t="s">
        <v>112</v>
      </c>
      <c r="CM9" t="s">
        <v>113</v>
      </c>
      <c r="CN9" t="s">
        <v>114</v>
      </c>
      <c r="CO9">
        <v>110087</v>
      </c>
      <c r="CP9" t="s">
        <v>197</v>
      </c>
      <c r="CR9" t="s">
        <v>198</v>
      </c>
      <c r="CU9" t="s">
        <v>199</v>
      </c>
      <c r="CV9" t="s">
        <v>127</v>
      </c>
      <c r="CW9">
        <v>46027.347337962965</v>
      </c>
    </row>
    <row r="10" spans="1:102" x14ac:dyDescent="0.25">
      <c r="A10" t="s">
        <v>128</v>
      </c>
      <c r="B10" t="s">
        <v>204</v>
      </c>
      <c r="C10">
        <v>46032.52107638889</v>
      </c>
      <c r="D10" t="s">
        <v>104</v>
      </c>
      <c r="E10" t="s">
        <v>205</v>
      </c>
      <c r="F10" t="s">
        <v>206</v>
      </c>
      <c r="G10">
        <v>46034.52337962963</v>
      </c>
      <c r="H10">
        <v>46032.50146990741</v>
      </c>
      <c r="I10">
        <v>547665540378</v>
      </c>
      <c r="J10">
        <v>1</v>
      </c>
      <c r="K10" t="s">
        <v>179</v>
      </c>
      <c r="L10" t="s">
        <v>180</v>
      </c>
      <c r="N10" t="s">
        <v>181</v>
      </c>
      <c r="O10" t="s">
        <v>182</v>
      </c>
      <c r="P10" t="s">
        <v>111</v>
      </c>
      <c r="Q10" t="s">
        <v>112</v>
      </c>
      <c r="R10" t="s">
        <v>113</v>
      </c>
      <c r="S10" t="s">
        <v>114</v>
      </c>
      <c r="T10">
        <v>110061</v>
      </c>
      <c r="U10" t="s">
        <v>112</v>
      </c>
      <c r="V10" t="s">
        <v>113</v>
      </c>
      <c r="W10" t="s">
        <v>114</v>
      </c>
      <c r="X10">
        <v>110061</v>
      </c>
      <c r="Y10" t="s">
        <v>207</v>
      </c>
      <c r="Z10" t="s">
        <v>208</v>
      </c>
      <c r="AA10" t="s">
        <v>117</v>
      </c>
      <c r="AB10" t="s">
        <v>118</v>
      </c>
      <c r="AC10" t="s">
        <v>114</v>
      </c>
      <c r="AD10">
        <v>500050</v>
      </c>
      <c r="AE10">
        <v>212.85</v>
      </c>
      <c r="AF10">
        <v>180.38</v>
      </c>
      <c r="AG10">
        <v>32.47</v>
      </c>
      <c r="AH10">
        <v>0</v>
      </c>
      <c r="AI10">
        <v>0</v>
      </c>
      <c r="AJ10">
        <v>0</v>
      </c>
      <c r="AK10">
        <v>0.18</v>
      </c>
      <c r="AL10">
        <v>0</v>
      </c>
      <c r="AM10">
        <v>212.85</v>
      </c>
      <c r="AN10">
        <v>180.38</v>
      </c>
      <c r="AO10">
        <v>0</v>
      </c>
      <c r="AP10">
        <v>0</v>
      </c>
      <c r="AQ10">
        <v>0</v>
      </c>
      <c r="AR10">
        <v>32.47</v>
      </c>
      <c r="AS10">
        <v>0</v>
      </c>
      <c r="AT10">
        <f>AH10+AI10+AK10</f>
      </c>
      <c r="AU10">
        <f>AF10-AV10</f>
      </c>
      <c r="AV10">
        <f>BE10+BL10+BY10+BV10</f>
      </c>
      <c r="AW10">
        <f>IF(V10=Z10,AU10*AH10,0)</f>
      </c>
      <c r="AX10">
        <f>IF(V10=Z10,AU10*AI10,0)</f>
      </c>
      <c r="AY10">
        <f>IF(V10&lt;&gt;Z10,AU10*AK10,0)</f>
      </c>
      <c r="AZ10">
        <f>IF(V10=Z10,AV10*AT10,0)</f>
      </c>
      <c r="BA10">
        <f>IF(V10=Z10,AV10*AT10,0)</f>
      </c>
      <c r="BB10">
        <f>IF(V10&lt;&gt;Z10,AV10*AT10,0)</f>
      </c>
      <c r="BC10">
        <f>AU10+AV10+AW10+AX10+AY10+AZ10+BA10+BB10-CB10-CD10-CH10</f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0.005</v>
      </c>
      <c r="CH10">
        <v>0.9</v>
      </c>
      <c r="CJ10" t="s">
        <v>138</v>
      </c>
      <c r="CK10" t="s">
        <v>139</v>
      </c>
      <c r="CL10" t="s">
        <v>209</v>
      </c>
      <c r="CM10" t="s">
        <v>209</v>
      </c>
      <c r="CN10" t="s">
        <v>114</v>
      </c>
      <c r="CO10">
        <v>160047</v>
      </c>
      <c r="CP10" t="s">
        <v>210</v>
      </c>
      <c r="CR10" t="s">
        <v>211</v>
      </c>
      <c r="CV10" t="s">
        <v>187</v>
      </c>
      <c r="CX10">
        <v>5002</v>
      </c>
    </row>
    <row r="11" spans="1:102" x14ac:dyDescent="0.25">
      <c r="A11" t="s">
        <v>128</v>
      </c>
      <c r="B11" t="s">
        <v>212</v>
      </c>
      <c r="C11">
        <v>46035.87386574074</v>
      </c>
      <c r="D11" t="s">
        <v>104</v>
      </c>
      <c r="E11" t="s">
        <v>213</v>
      </c>
      <c r="F11" t="s">
        <v>214</v>
      </c>
      <c r="G11">
        <v>46036.64792824074</v>
      </c>
      <c r="H11">
        <v>46035.85612268518</v>
      </c>
      <c r="I11">
        <v>547557834034</v>
      </c>
      <c r="J11">
        <v>1</v>
      </c>
      <c r="K11" t="s">
        <v>179</v>
      </c>
      <c r="L11" t="s">
        <v>180</v>
      </c>
      <c r="N11" t="s">
        <v>181</v>
      </c>
      <c r="O11" t="s">
        <v>182</v>
      </c>
      <c r="P11" t="s">
        <v>111</v>
      </c>
      <c r="Q11" t="s">
        <v>112</v>
      </c>
      <c r="R11" t="s">
        <v>113</v>
      </c>
      <c r="S11" t="s">
        <v>114</v>
      </c>
      <c r="T11">
        <v>110061</v>
      </c>
      <c r="U11" t="s">
        <v>112</v>
      </c>
      <c r="V11" t="s">
        <v>113</v>
      </c>
      <c r="W11" t="s">
        <v>114</v>
      </c>
      <c r="X11">
        <v>110061</v>
      </c>
      <c r="Y11" t="s">
        <v>215</v>
      </c>
      <c r="Z11" t="s">
        <v>153</v>
      </c>
      <c r="AA11" t="s">
        <v>117</v>
      </c>
      <c r="AB11" t="s">
        <v>118</v>
      </c>
      <c r="AC11" t="s">
        <v>114</v>
      </c>
      <c r="AD11">
        <v>412105</v>
      </c>
      <c r="AE11">
        <v>212.85</v>
      </c>
      <c r="AF11">
        <v>180.38</v>
      </c>
      <c r="AG11">
        <v>32.47</v>
      </c>
      <c r="AH11">
        <v>0</v>
      </c>
      <c r="AI11">
        <v>0</v>
      </c>
      <c r="AJ11">
        <v>0</v>
      </c>
      <c r="AK11">
        <v>0.18</v>
      </c>
      <c r="AL11">
        <v>0</v>
      </c>
      <c r="AM11">
        <v>212.85</v>
      </c>
      <c r="AN11">
        <v>180.38</v>
      </c>
      <c r="AO11">
        <v>0</v>
      </c>
      <c r="AP11">
        <v>0</v>
      </c>
      <c r="AQ11">
        <v>0</v>
      </c>
      <c r="AR11">
        <v>32.47</v>
      </c>
      <c r="AS11">
        <v>0</v>
      </c>
      <c r="AT11">
        <f>AH11+AI11+AK11</f>
      </c>
      <c r="AU11">
        <f>AF11-AV11</f>
      </c>
      <c r="AV11">
        <f>BE11+BL11+BY11+BV11</f>
      </c>
      <c r="AW11">
        <f>IF(V11=Z11,AU11*AH11,0)</f>
      </c>
      <c r="AX11">
        <f>IF(V11=Z11,AU11*AI11,0)</f>
      </c>
      <c r="AY11">
        <f>IF(V11&lt;&gt;Z11,AU11*AK11,0)</f>
      </c>
      <c r="AZ11">
        <f>IF(V11=Z11,AV11*AT11,0)</f>
      </c>
      <c r="BA11">
        <f>IF(V11=Z11,AV11*AT11,0)</f>
      </c>
      <c r="BB11">
        <f>IF(V11&lt;&gt;Z11,AV11*AT11,0)</f>
      </c>
      <c r="BC11">
        <f>AU11+AV11+AW11+AX11+AY11+AZ11+BA11+BB11-CB11-CD11-CH11</f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0.005</v>
      </c>
      <c r="CH11">
        <v>0.9</v>
      </c>
      <c r="CJ11" t="s">
        <v>138</v>
      </c>
      <c r="CK11" t="s">
        <v>121</v>
      </c>
      <c r="CL11" t="s">
        <v>216</v>
      </c>
      <c r="CM11" t="s">
        <v>153</v>
      </c>
      <c r="CN11" t="s">
        <v>114</v>
      </c>
      <c r="CO11">
        <v>412105</v>
      </c>
      <c r="CP11" t="s">
        <v>217</v>
      </c>
      <c r="CR11" t="s">
        <v>218</v>
      </c>
      <c r="CV11" t="s">
        <v>187</v>
      </c>
      <c r="CX11">
        <v>5002</v>
      </c>
    </row>
    <row r="12" spans="1:102" x14ac:dyDescent="0.25">
      <c r="A12" t="s">
        <v>128</v>
      </c>
      <c r="B12" t="s">
        <v>219</v>
      </c>
      <c r="C12">
        <v>46036.83556712963</v>
      </c>
      <c r="D12" t="s">
        <v>104</v>
      </c>
      <c r="E12" t="s">
        <v>220</v>
      </c>
      <c r="F12" t="s">
        <v>221</v>
      </c>
      <c r="G12">
        <v>46037.68987268519</v>
      </c>
      <c r="H12">
        <v>46036.816030092596</v>
      </c>
      <c r="I12">
        <v>547527910753</v>
      </c>
      <c r="J12">
        <v>1</v>
      </c>
      <c r="K12" t="s">
        <v>222</v>
      </c>
      <c r="L12" t="s">
        <v>223</v>
      </c>
      <c r="M12">
        <v>34022090</v>
      </c>
      <c r="N12" t="s">
        <v>224</v>
      </c>
      <c r="O12" t="s">
        <v>225</v>
      </c>
      <c r="P12" t="s">
        <v>111</v>
      </c>
      <c r="Q12" t="s">
        <v>112</v>
      </c>
      <c r="R12" t="s">
        <v>113</v>
      </c>
      <c r="S12" t="s">
        <v>114</v>
      </c>
      <c r="T12">
        <v>110061</v>
      </c>
      <c r="U12" t="s">
        <v>112</v>
      </c>
      <c r="V12" t="s">
        <v>113</v>
      </c>
      <c r="W12" t="s">
        <v>114</v>
      </c>
      <c r="X12">
        <v>110061</v>
      </c>
      <c r="Y12" t="s">
        <v>226</v>
      </c>
      <c r="Z12" t="s">
        <v>227</v>
      </c>
      <c r="AA12" t="s">
        <v>117</v>
      </c>
      <c r="AB12" t="s">
        <v>118</v>
      </c>
      <c r="AC12" t="s">
        <v>114</v>
      </c>
      <c r="AD12">
        <v>473551</v>
      </c>
      <c r="AE12">
        <v>395.01</v>
      </c>
      <c r="AF12">
        <v>334.75</v>
      </c>
      <c r="AG12">
        <v>60.26</v>
      </c>
      <c r="AH12">
        <v>0</v>
      </c>
      <c r="AI12">
        <v>0</v>
      </c>
      <c r="AJ12">
        <v>0</v>
      </c>
      <c r="AK12">
        <v>0.18</v>
      </c>
      <c r="AL12">
        <v>0</v>
      </c>
      <c r="AM12">
        <v>395.01</v>
      </c>
      <c r="AN12">
        <v>334.75</v>
      </c>
      <c r="AO12">
        <v>0</v>
      </c>
      <c r="AP12">
        <v>0</v>
      </c>
      <c r="AQ12">
        <v>0</v>
      </c>
      <c r="AR12">
        <v>60.26</v>
      </c>
      <c r="AS12">
        <v>0</v>
      </c>
      <c r="AT12">
        <f>AH12+AI12+AK12</f>
      </c>
      <c r="AU12">
        <f>AF12-AV12</f>
      </c>
      <c r="AV12">
        <f>BE12+BL12+BY12+BV12</f>
      </c>
      <c r="AW12">
        <f>IF(V12=Z12,AU12*AH12,0)</f>
      </c>
      <c r="AX12">
        <f>IF(V12=Z12,AU12*AI12,0)</f>
      </c>
      <c r="AY12">
        <f>IF(V12&lt;&gt;Z12,AU12*AK12,0)</f>
      </c>
      <c r="AZ12">
        <f>IF(V12=Z12,AV12*AT12,0)</f>
      </c>
      <c r="BA12">
        <f>IF(V12=Z12,AV12*AT12,0)</f>
      </c>
      <c r="BB12">
        <f>IF(V12&lt;&gt;Z12,AV12*AT12,0)</f>
      </c>
      <c r="BC12">
        <f>AU12+AV12+AW12+AX12+AY12+AZ12+BA12+BB12-CB12-CD12-CH12</f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0.005</v>
      </c>
      <c r="CH12">
        <v>1.67</v>
      </c>
      <c r="CJ12" t="s">
        <v>138</v>
      </c>
      <c r="CK12" t="s">
        <v>228</v>
      </c>
      <c r="CL12" t="s">
        <v>229</v>
      </c>
      <c r="CM12" t="s">
        <v>227</v>
      </c>
      <c r="CN12" t="s">
        <v>114</v>
      </c>
      <c r="CO12">
        <v>473551</v>
      </c>
      <c r="CP12" t="s">
        <v>230</v>
      </c>
      <c r="CR12" t="s">
        <v>231</v>
      </c>
      <c r="CU12" t="s">
        <v>232</v>
      </c>
      <c r="CV12" t="s">
        <v>127</v>
      </c>
      <c r="CW12">
        <v>46036.60636574074</v>
      </c>
    </row>
    <row r="13" spans="1:102" x14ac:dyDescent="0.25">
      <c r="A13" t="s">
        <v>128</v>
      </c>
      <c r="B13" t="s">
        <v>233</v>
      </c>
      <c r="C13">
        <v>46036.77987268518</v>
      </c>
      <c r="D13" t="s">
        <v>104</v>
      </c>
      <c r="E13" t="s">
        <v>234</v>
      </c>
      <c r="F13" t="s">
        <v>235</v>
      </c>
      <c r="G13">
        <v>46037.690046296295</v>
      </c>
      <c r="H13">
        <v>46036.76002314815</v>
      </c>
      <c r="I13">
        <v>547727925799</v>
      </c>
      <c r="J13">
        <v>2</v>
      </c>
      <c r="K13" t="s">
        <v>236</v>
      </c>
      <c r="L13" t="s">
        <v>237</v>
      </c>
      <c r="M13">
        <v>34011990</v>
      </c>
      <c r="N13" t="s">
        <v>238</v>
      </c>
      <c r="O13" t="s">
        <v>239</v>
      </c>
      <c r="P13" t="s">
        <v>111</v>
      </c>
      <c r="Q13" t="s">
        <v>112</v>
      </c>
      <c r="R13" t="s">
        <v>113</v>
      </c>
      <c r="S13" t="s">
        <v>114</v>
      </c>
      <c r="T13">
        <v>110061</v>
      </c>
      <c r="U13" t="s">
        <v>112</v>
      </c>
      <c r="V13" t="s">
        <v>113</v>
      </c>
      <c r="W13" t="s">
        <v>114</v>
      </c>
      <c r="X13">
        <v>110061</v>
      </c>
      <c r="Y13" t="s">
        <v>240</v>
      </c>
      <c r="Z13" t="s">
        <v>227</v>
      </c>
      <c r="AA13" t="s">
        <v>117</v>
      </c>
      <c r="AB13" t="s">
        <v>118</v>
      </c>
      <c r="AC13" t="s">
        <v>114</v>
      </c>
      <c r="AD13">
        <v>452010</v>
      </c>
      <c r="AE13">
        <v>592.02</v>
      </c>
      <c r="AF13">
        <v>501.72</v>
      </c>
      <c r="AG13">
        <v>90.3</v>
      </c>
      <c r="AH13">
        <v>0</v>
      </c>
      <c r="AI13">
        <v>0</v>
      </c>
      <c r="AJ13">
        <v>0</v>
      </c>
      <c r="AK13">
        <v>0.18</v>
      </c>
      <c r="AL13">
        <v>0</v>
      </c>
      <c r="AM13">
        <v>592.02</v>
      </c>
      <c r="AN13">
        <v>501.72</v>
      </c>
      <c r="AO13">
        <v>0</v>
      </c>
      <c r="AP13">
        <v>0</v>
      </c>
      <c r="AQ13">
        <v>0</v>
      </c>
      <c r="AR13">
        <v>90.3</v>
      </c>
      <c r="AS13">
        <v>0</v>
      </c>
      <c r="AT13">
        <f>AH13+AI13+AK13</f>
      </c>
      <c r="AU13">
        <f>AF13-AV13</f>
      </c>
      <c r="AV13">
        <f>BE13+BL13+BY13+BV13</f>
      </c>
      <c r="AW13">
        <f>IF(V13=Z13,AU13*AH13,0)</f>
      </c>
      <c r="AX13">
        <f>IF(V13=Z13,AU13*AI13,0)</f>
      </c>
      <c r="AY13">
        <f>IF(V13&lt;&gt;Z13,AU13*AK13,0)</f>
      </c>
      <c r="AZ13">
        <f>IF(V13=Z13,AV13*AT13,0)</f>
      </c>
      <c r="BA13">
        <f>IF(V13=Z13,AV13*AT13,0)</f>
      </c>
      <c r="BB13">
        <f>IF(V13&lt;&gt;Z13,AV13*AT13,0)</f>
      </c>
      <c r="BC13">
        <f>AU13+AV13+AW13+AX13+AY13+AZ13+BA13+BB13-CB13-CD13-CH13</f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0.005</v>
      </c>
      <c r="CH13">
        <v>2.5</v>
      </c>
      <c r="CJ13" t="s">
        <v>138</v>
      </c>
      <c r="CK13" t="s">
        <v>121</v>
      </c>
      <c r="CL13" t="s">
        <v>240</v>
      </c>
      <c r="CM13" t="s">
        <v>227</v>
      </c>
      <c r="CN13" t="s">
        <v>114</v>
      </c>
      <c r="CO13">
        <v>452006</v>
      </c>
      <c r="CP13" t="s">
        <v>241</v>
      </c>
      <c r="CR13" t="s">
        <v>242</v>
      </c>
      <c r="CU13" t="s">
        <v>243</v>
      </c>
      <c r="CV13" t="s">
        <v>127</v>
      </c>
      <c r="CW13">
        <v>46036.55081018519</v>
      </c>
    </row>
    <row r="14" spans="1:102" x14ac:dyDescent="0.25">
      <c r="A14" t="s">
        <v>128</v>
      </c>
      <c r="B14" t="s">
        <v>244</v>
      </c>
      <c r="C14">
        <v>46036.53403935185</v>
      </c>
      <c r="D14" t="s">
        <v>104</v>
      </c>
      <c r="E14" t="s">
        <v>245</v>
      </c>
      <c r="F14" t="s">
        <v>246</v>
      </c>
      <c r="G14">
        <v>46037.690405092595</v>
      </c>
      <c r="H14">
        <v>46036.51403935185</v>
      </c>
      <c r="I14">
        <v>547693863752</v>
      </c>
      <c r="J14">
        <v>1</v>
      </c>
      <c r="K14" t="s">
        <v>247</v>
      </c>
      <c r="L14" t="s">
        <v>248</v>
      </c>
      <c r="M14">
        <v>34011990</v>
      </c>
      <c r="N14" t="s">
        <v>249</v>
      </c>
      <c r="O14" t="s">
        <v>250</v>
      </c>
      <c r="P14" t="s">
        <v>111</v>
      </c>
      <c r="Q14" t="s">
        <v>112</v>
      </c>
      <c r="R14" t="s">
        <v>113</v>
      </c>
      <c r="S14" t="s">
        <v>114</v>
      </c>
      <c r="T14">
        <v>110061</v>
      </c>
      <c r="U14" t="s">
        <v>112</v>
      </c>
      <c r="V14" t="s">
        <v>113</v>
      </c>
      <c r="W14" t="s">
        <v>114</v>
      </c>
      <c r="X14">
        <v>110061</v>
      </c>
      <c r="Y14" t="s">
        <v>152</v>
      </c>
      <c r="Z14" t="s">
        <v>153</v>
      </c>
      <c r="AA14" t="s">
        <v>117</v>
      </c>
      <c r="AB14" t="s">
        <v>118</v>
      </c>
      <c r="AC14" t="s">
        <v>114</v>
      </c>
      <c r="AD14">
        <v>400069</v>
      </c>
      <c r="AE14">
        <v>140.58</v>
      </c>
      <c r="AF14">
        <v>119.14</v>
      </c>
      <c r="AG14">
        <v>21.44</v>
      </c>
      <c r="AH14">
        <v>0</v>
      </c>
      <c r="AI14">
        <v>0</v>
      </c>
      <c r="AJ14">
        <v>0</v>
      </c>
      <c r="AK14">
        <v>0.18</v>
      </c>
      <c r="AL14">
        <v>0</v>
      </c>
      <c r="AM14">
        <v>140.58</v>
      </c>
      <c r="AN14">
        <v>119.14</v>
      </c>
      <c r="AO14">
        <v>0</v>
      </c>
      <c r="AP14">
        <v>0</v>
      </c>
      <c r="AQ14">
        <v>0</v>
      </c>
      <c r="AR14">
        <v>21.44</v>
      </c>
      <c r="AS14">
        <v>0</v>
      </c>
      <c r="AT14">
        <f>AH14+AI14+AK14</f>
      </c>
      <c r="AU14">
        <f>AF14-AV14</f>
      </c>
      <c r="AV14">
        <f>BE14+BL14+BY14+BV14</f>
      </c>
      <c r="AW14">
        <f>IF(V14=Z14,AU14*AH14,0)</f>
      </c>
      <c r="AX14">
        <f>IF(V14=Z14,AU14*AI14,0)</f>
      </c>
      <c r="AY14">
        <f>IF(V14&lt;&gt;Z14,AU14*AK14,0)</f>
      </c>
      <c r="AZ14">
        <f>IF(V14=Z14,AV14*AT14,0)</f>
      </c>
      <c r="BA14">
        <f>IF(V14=Z14,AV14*AT14,0)</f>
      </c>
      <c r="BB14">
        <f>IF(V14&lt;&gt;Z14,AV14*AT14,0)</f>
      </c>
      <c r="BC14">
        <f>AU14+AV14+AW14+AX14+AY14+AZ14+BA14+BB14-CB14-CD14-CH14</f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0.005</v>
      </c>
      <c r="CH14">
        <v>0.6</v>
      </c>
      <c r="CJ14" t="s">
        <v>138</v>
      </c>
      <c r="CK14" t="s">
        <v>121</v>
      </c>
      <c r="CL14" t="s">
        <v>251</v>
      </c>
      <c r="CM14" t="s">
        <v>153</v>
      </c>
      <c r="CN14" t="s">
        <v>114</v>
      </c>
      <c r="CO14">
        <v>400069</v>
      </c>
      <c r="CP14" t="s">
        <v>252</v>
      </c>
      <c r="CR14" t="s">
        <v>253</v>
      </c>
      <c r="CU14" t="s">
        <v>254</v>
      </c>
      <c r="CV14" t="s">
        <v>127</v>
      </c>
      <c r="CW14">
        <v>46036.304976851854</v>
      </c>
    </row>
    <row r="15" spans="1:102" x14ac:dyDescent="0.25">
      <c r="A15" t="s">
        <v>128</v>
      </c>
      <c r="B15" t="s">
        <v>255</v>
      </c>
      <c r="C15">
        <v>46036.64878472222</v>
      </c>
      <c r="D15" t="s">
        <v>104</v>
      </c>
      <c r="E15" t="s">
        <v>256</v>
      </c>
      <c r="F15" t="s">
        <v>257</v>
      </c>
      <c r="G15">
        <v>46037.690254629626</v>
      </c>
      <c r="H15">
        <v>46036.62862268519</v>
      </c>
      <c r="I15">
        <v>547602914047</v>
      </c>
      <c r="J15">
        <v>1</v>
      </c>
      <c r="K15" t="s">
        <v>258</v>
      </c>
      <c r="L15" t="s">
        <v>259</v>
      </c>
      <c r="M15">
        <v>34022090</v>
      </c>
      <c r="N15" t="s">
        <v>260</v>
      </c>
      <c r="O15" t="s">
        <v>261</v>
      </c>
      <c r="P15" t="s">
        <v>111</v>
      </c>
      <c r="Q15" t="s">
        <v>112</v>
      </c>
      <c r="R15" t="s">
        <v>113</v>
      </c>
      <c r="S15" t="s">
        <v>114</v>
      </c>
      <c r="T15">
        <v>110061</v>
      </c>
      <c r="U15" t="s">
        <v>112</v>
      </c>
      <c r="V15" t="s">
        <v>113</v>
      </c>
      <c r="W15" t="s">
        <v>114</v>
      </c>
      <c r="X15">
        <v>110061</v>
      </c>
      <c r="Y15" t="s">
        <v>226</v>
      </c>
      <c r="Z15" t="s">
        <v>227</v>
      </c>
      <c r="AA15" t="s">
        <v>117</v>
      </c>
      <c r="AB15" t="s">
        <v>118</v>
      </c>
      <c r="AC15" t="s">
        <v>114</v>
      </c>
      <c r="AD15">
        <v>473551</v>
      </c>
      <c r="AE15">
        <v>246.51</v>
      </c>
      <c r="AF15">
        <v>208.91</v>
      </c>
      <c r="AG15">
        <v>37.6</v>
      </c>
      <c r="AH15">
        <v>0</v>
      </c>
      <c r="AI15">
        <v>0</v>
      </c>
      <c r="AJ15">
        <v>0</v>
      </c>
      <c r="AK15">
        <v>0.18</v>
      </c>
      <c r="AL15">
        <v>0</v>
      </c>
      <c r="AM15">
        <v>246.51</v>
      </c>
      <c r="AN15">
        <v>208.91</v>
      </c>
      <c r="AO15">
        <v>0</v>
      </c>
      <c r="AP15">
        <v>0</v>
      </c>
      <c r="AQ15">
        <v>0</v>
      </c>
      <c r="AR15">
        <v>37.6</v>
      </c>
      <c r="AS15">
        <v>0</v>
      </c>
      <c r="AT15">
        <f>AH15+AI15+AK15</f>
      </c>
      <c r="AU15">
        <f>AF15-AV15</f>
      </c>
      <c r="AV15">
        <f>BE15+BL15+BY15+BV15</f>
      </c>
      <c r="AW15">
        <f>IF(V15=Z15,AU15*AH15,0)</f>
      </c>
      <c r="AX15">
        <f>IF(V15=Z15,AU15*AI15,0)</f>
      </c>
      <c r="AY15">
        <f>IF(V15&lt;&gt;Z15,AU15*AK15,0)</f>
      </c>
      <c r="AZ15">
        <f>IF(V15=Z15,AV15*AT15,0)</f>
      </c>
      <c r="BA15">
        <f>IF(V15=Z15,AV15*AT15,0)</f>
      </c>
      <c r="BB15">
        <f>IF(V15&lt;&gt;Z15,AV15*AT15,0)</f>
      </c>
      <c r="BC15">
        <f>AU15+AV15+AW15+AX15+AY15+AZ15+BA15+BB15-CB15-CD15-CH15</f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0.005</v>
      </c>
      <c r="CH15">
        <v>1.04</v>
      </c>
      <c r="CJ15" t="s">
        <v>138</v>
      </c>
      <c r="CK15" t="s">
        <v>228</v>
      </c>
      <c r="CL15" t="s">
        <v>229</v>
      </c>
      <c r="CM15" t="s">
        <v>227</v>
      </c>
      <c r="CN15" t="s">
        <v>114</v>
      </c>
      <c r="CO15">
        <v>473551</v>
      </c>
      <c r="CP15" t="s">
        <v>230</v>
      </c>
      <c r="CR15" t="s">
        <v>231</v>
      </c>
      <c r="CV15" t="s">
        <v>187</v>
      </c>
      <c r="CX15">
        <v>5002</v>
      </c>
    </row>
    <row r="16" spans="1:102" x14ac:dyDescent="0.25">
      <c r="A16" t="s">
        <v>128</v>
      </c>
      <c r="B16" t="s">
        <v>255</v>
      </c>
      <c r="C16">
        <v>46036.64878472222</v>
      </c>
      <c r="D16" t="s">
        <v>104</v>
      </c>
      <c r="E16" t="s">
        <v>256</v>
      </c>
      <c r="F16" t="s">
        <v>257</v>
      </c>
      <c r="G16">
        <v>46037.690254629626</v>
      </c>
      <c r="H16">
        <v>46036.62862268519</v>
      </c>
      <c r="I16">
        <v>547560450510</v>
      </c>
      <c r="J16">
        <v>1</v>
      </c>
      <c r="K16" t="s">
        <v>262</v>
      </c>
      <c r="L16" t="s">
        <v>263</v>
      </c>
      <c r="N16" t="s">
        <v>264</v>
      </c>
      <c r="O16" t="s">
        <v>265</v>
      </c>
      <c r="P16" t="s">
        <v>111</v>
      </c>
      <c r="Q16" t="s">
        <v>112</v>
      </c>
      <c r="R16" t="s">
        <v>113</v>
      </c>
      <c r="S16" t="s">
        <v>114</v>
      </c>
      <c r="T16">
        <v>110061</v>
      </c>
      <c r="U16" t="s">
        <v>112</v>
      </c>
      <c r="V16" t="s">
        <v>113</v>
      </c>
      <c r="W16" t="s">
        <v>114</v>
      </c>
      <c r="X16">
        <v>110061</v>
      </c>
      <c r="Y16" t="s">
        <v>226</v>
      </c>
      <c r="Z16" t="s">
        <v>227</v>
      </c>
      <c r="AA16" t="s">
        <v>117</v>
      </c>
      <c r="AB16" t="s">
        <v>118</v>
      </c>
      <c r="AC16" t="s">
        <v>114</v>
      </c>
      <c r="AD16">
        <v>473551</v>
      </c>
      <c r="AE16">
        <v>444.51</v>
      </c>
      <c r="AF16">
        <v>376.7</v>
      </c>
      <c r="AG16">
        <v>67.81</v>
      </c>
      <c r="AH16">
        <v>0</v>
      </c>
      <c r="AI16">
        <v>0</v>
      </c>
      <c r="AJ16">
        <v>0</v>
      </c>
      <c r="AK16">
        <v>0.18</v>
      </c>
      <c r="AL16">
        <v>0</v>
      </c>
      <c r="AM16">
        <v>444.51</v>
      </c>
      <c r="AN16">
        <v>376.7</v>
      </c>
      <c r="AO16">
        <v>0</v>
      </c>
      <c r="AP16">
        <v>0</v>
      </c>
      <c r="AQ16">
        <v>0</v>
      </c>
      <c r="AR16">
        <v>67.81</v>
      </c>
      <c r="AS16">
        <v>0</v>
      </c>
      <c r="AT16">
        <f>AH16+AI16+AK16</f>
      </c>
      <c r="AU16">
        <f>AF16-AV16</f>
      </c>
      <c r="AV16">
        <f>BE16+BL16+BY16+BV16</f>
      </c>
      <c r="AW16">
        <f>IF(V16=Z16,AU16*AH16,0)</f>
      </c>
      <c r="AX16">
        <f>IF(V16=Z16,AU16*AI16,0)</f>
      </c>
      <c r="AY16">
        <f>IF(V16&lt;&gt;Z16,AU16*AK16,0)</f>
      </c>
      <c r="AZ16">
        <f>IF(V16=Z16,AV16*AT16,0)</f>
      </c>
      <c r="BA16">
        <f>IF(V16=Z16,AV16*AT16,0)</f>
      </c>
      <c r="BB16">
        <f>IF(V16&lt;&gt;Z16,AV16*AT16,0)</f>
      </c>
      <c r="BC16">
        <f>AU16+AV16+AW16+AX16+AY16+AZ16+BA16+BB16-CB16-CD16-CH16</f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0.005</v>
      </c>
      <c r="CH16">
        <v>1.88</v>
      </c>
      <c r="CJ16" t="s">
        <v>138</v>
      </c>
      <c r="CK16" t="s">
        <v>228</v>
      </c>
      <c r="CL16" t="s">
        <v>229</v>
      </c>
      <c r="CM16" t="s">
        <v>227</v>
      </c>
      <c r="CN16" t="s">
        <v>114</v>
      </c>
      <c r="CO16">
        <v>473551</v>
      </c>
      <c r="CP16" t="s">
        <v>230</v>
      </c>
      <c r="CR16" t="s">
        <v>231</v>
      </c>
      <c r="CV16" t="s">
        <v>187</v>
      </c>
      <c r="CX16">
        <v>5002</v>
      </c>
    </row>
    <row r="17" spans="1:102" x14ac:dyDescent="0.25">
      <c r="A17" t="s">
        <v>128</v>
      </c>
      <c r="B17" t="s">
        <v>266</v>
      </c>
      <c r="C17">
        <v>46037.48509259259</v>
      </c>
      <c r="D17" t="s">
        <v>104</v>
      </c>
      <c r="E17" t="s">
        <v>267</v>
      </c>
      <c r="F17" t="s">
        <v>268</v>
      </c>
      <c r="G17">
        <v>46038.66768518519</v>
      </c>
      <c r="H17">
        <v>46037.46601851852</v>
      </c>
      <c r="I17">
        <v>547906697666</v>
      </c>
      <c r="J17">
        <v>1</v>
      </c>
      <c r="K17" t="s">
        <v>179</v>
      </c>
      <c r="L17" t="s">
        <v>180</v>
      </c>
      <c r="N17" t="s">
        <v>181</v>
      </c>
      <c r="O17" t="s">
        <v>182</v>
      </c>
      <c r="P17" t="s">
        <v>111</v>
      </c>
      <c r="Q17" t="s">
        <v>112</v>
      </c>
      <c r="R17" t="s">
        <v>113</v>
      </c>
      <c r="S17" t="s">
        <v>114</v>
      </c>
      <c r="T17">
        <v>110061</v>
      </c>
      <c r="U17" t="s">
        <v>112</v>
      </c>
      <c r="V17" t="s">
        <v>113</v>
      </c>
      <c r="W17" t="s">
        <v>114</v>
      </c>
      <c r="X17">
        <v>110061</v>
      </c>
      <c r="Y17" t="s">
        <v>152</v>
      </c>
      <c r="Z17" t="s">
        <v>153</v>
      </c>
      <c r="AA17" t="s">
        <v>117</v>
      </c>
      <c r="AB17" t="s">
        <v>118</v>
      </c>
      <c r="AC17" t="s">
        <v>114</v>
      </c>
      <c r="AD17">
        <v>400012</v>
      </c>
      <c r="AE17">
        <v>212.85</v>
      </c>
      <c r="AF17">
        <v>180.38</v>
      </c>
      <c r="AG17">
        <v>32.47</v>
      </c>
      <c r="AH17">
        <v>0</v>
      </c>
      <c r="AI17">
        <v>0</v>
      </c>
      <c r="AJ17">
        <v>0</v>
      </c>
      <c r="AK17">
        <v>0.18</v>
      </c>
      <c r="AL17">
        <v>0</v>
      </c>
      <c r="AM17">
        <v>212.85</v>
      </c>
      <c r="AN17">
        <v>180.38</v>
      </c>
      <c r="AO17">
        <v>0</v>
      </c>
      <c r="AP17">
        <v>0</v>
      </c>
      <c r="AQ17">
        <v>0</v>
      </c>
      <c r="AR17">
        <v>32.47</v>
      </c>
      <c r="AS17">
        <v>0</v>
      </c>
      <c r="AT17">
        <f>AH17+AI17+AK17</f>
      </c>
      <c r="AU17">
        <f>AF17-AV17</f>
      </c>
      <c r="AV17">
        <f>BE17+BL17+BY17+BV17</f>
      </c>
      <c r="AW17">
        <f>IF(V17=Z17,AU17*AH17,0)</f>
      </c>
      <c r="AX17">
        <f>IF(V17=Z17,AU17*AI17,0)</f>
      </c>
      <c r="AY17">
        <f>IF(V17&lt;&gt;Z17,AU17*AK17,0)</f>
      </c>
      <c r="AZ17">
        <f>IF(V17=Z17,AV17*AT17,0)</f>
      </c>
      <c r="BA17">
        <f>IF(V17=Z17,AV17*AT17,0)</f>
      </c>
      <c r="BB17">
        <f>IF(V17&lt;&gt;Z17,AV17*AT17,0)</f>
      </c>
      <c r="BC17">
        <f>AU17+AV17+AW17+AX17+AY17+AZ17+BA17+BB17-CB17-CD17-CH17</f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0.005</v>
      </c>
      <c r="CH17">
        <v>0.9</v>
      </c>
      <c r="CJ17" t="s">
        <v>138</v>
      </c>
      <c r="CK17" t="s">
        <v>139</v>
      </c>
      <c r="CL17" t="s">
        <v>152</v>
      </c>
      <c r="CM17" t="s">
        <v>153</v>
      </c>
      <c r="CN17" t="s">
        <v>114</v>
      </c>
      <c r="CO17">
        <v>400006</v>
      </c>
      <c r="CP17" t="s">
        <v>269</v>
      </c>
      <c r="CR17" t="s">
        <v>270</v>
      </c>
      <c r="CV17" t="s">
        <v>187</v>
      </c>
      <c r="CX17">
        <v>5002</v>
      </c>
    </row>
    <row r="18" spans="1:102" x14ac:dyDescent="0.25">
      <c r="A18" t="s">
        <v>128</v>
      </c>
      <c r="B18" t="s">
        <v>271</v>
      </c>
      <c r="C18">
        <v>46038.502534722225</v>
      </c>
      <c r="D18" t="s">
        <v>104</v>
      </c>
      <c r="E18" t="s">
        <v>272</v>
      </c>
      <c r="F18" t="s">
        <v>273</v>
      </c>
      <c r="G18">
        <v>46039.64800925926</v>
      </c>
      <c r="H18">
        <v>46038.48915509259</v>
      </c>
      <c r="I18">
        <v>548356949540</v>
      </c>
      <c r="J18">
        <v>1</v>
      </c>
      <c r="K18" t="s">
        <v>274</v>
      </c>
      <c r="L18" t="s">
        <v>275</v>
      </c>
      <c r="N18" t="s">
        <v>276</v>
      </c>
      <c r="O18" t="s">
        <v>277</v>
      </c>
      <c r="P18" t="s">
        <v>111</v>
      </c>
      <c r="Q18" t="s">
        <v>112</v>
      </c>
      <c r="R18" t="s">
        <v>113</v>
      </c>
      <c r="S18" t="s">
        <v>114</v>
      </c>
      <c r="T18">
        <v>110061</v>
      </c>
      <c r="U18" t="s">
        <v>112</v>
      </c>
      <c r="V18" t="s">
        <v>113</v>
      </c>
      <c r="W18" t="s">
        <v>114</v>
      </c>
      <c r="X18">
        <v>110061</v>
      </c>
      <c r="Y18" t="s">
        <v>278</v>
      </c>
      <c r="Z18" t="s">
        <v>137</v>
      </c>
      <c r="AA18" t="s">
        <v>117</v>
      </c>
      <c r="AB18" t="s">
        <v>118</v>
      </c>
      <c r="AC18" t="s">
        <v>114</v>
      </c>
      <c r="AD18">
        <v>627357</v>
      </c>
      <c r="AE18">
        <v>1048.41</v>
      </c>
      <c r="AF18">
        <v>888.48</v>
      </c>
      <c r="AG18">
        <v>159.93</v>
      </c>
      <c r="AH18">
        <v>0</v>
      </c>
      <c r="AI18">
        <v>0</v>
      </c>
      <c r="AJ18">
        <v>0</v>
      </c>
      <c r="AK18">
        <v>0.18</v>
      </c>
      <c r="AL18">
        <v>0</v>
      </c>
      <c r="AM18">
        <v>1048.41</v>
      </c>
      <c r="AN18">
        <v>888.48</v>
      </c>
      <c r="AO18">
        <v>0</v>
      </c>
      <c r="AP18">
        <v>0</v>
      </c>
      <c r="AQ18">
        <v>0</v>
      </c>
      <c r="AR18">
        <v>159.93</v>
      </c>
      <c r="AS18">
        <v>0</v>
      </c>
      <c r="AT18">
        <f>AH18+AI18+AK18</f>
      </c>
      <c r="AU18">
        <f>AF18-AV18</f>
      </c>
      <c r="AV18">
        <f>BE18+BL18+BY18+BV18</f>
      </c>
      <c r="AW18">
        <f>IF(V18=Z18,AU18*AH18,0)</f>
      </c>
      <c r="AX18">
        <f>IF(V18=Z18,AU18*AI18,0)</f>
      </c>
      <c r="AY18">
        <f>IF(V18&lt;&gt;Z18,AU18*AK18,0)</f>
      </c>
      <c r="AZ18">
        <f>IF(V18=Z18,AV18*AT18,0)</f>
      </c>
      <c r="BA18">
        <f>IF(V18=Z18,AV18*AT18,0)</f>
      </c>
      <c r="BB18">
        <f>IF(V18&lt;&gt;Z18,AV18*AT18,0)</f>
      </c>
      <c r="BC18">
        <f>AU18+AV18+AW18+AX18+AY18+AZ18+BA18+BB18-CB18-CD18-CH18</f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0.005</v>
      </c>
      <c r="CH18">
        <v>4.44</v>
      </c>
      <c r="CJ18" t="s">
        <v>138</v>
      </c>
      <c r="CK18" t="s">
        <v>121</v>
      </c>
      <c r="CL18" t="s">
        <v>136</v>
      </c>
      <c r="CM18" t="s">
        <v>137</v>
      </c>
      <c r="CN18" t="s">
        <v>114</v>
      </c>
      <c r="CO18">
        <v>600119</v>
      </c>
      <c r="CP18" t="s">
        <v>279</v>
      </c>
      <c r="CR18" t="s">
        <v>280</v>
      </c>
      <c r="CV18" t="s">
        <v>187</v>
      </c>
      <c r="CX18">
        <v>5002</v>
      </c>
    </row>
    <row r="19" spans="1:102" x14ac:dyDescent="0.25">
      <c r="A19" t="s">
        <v>128</v>
      </c>
      <c r="B19" t="s">
        <v>281</v>
      </c>
      <c r="C19">
        <v>46038.73349537037</v>
      </c>
      <c r="D19" t="s">
        <v>104</v>
      </c>
      <c r="E19" t="s">
        <v>282</v>
      </c>
      <c r="F19" t="s">
        <v>283</v>
      </c>
      <c r="G19">
        <v>46039.64791666667</v>
      </c>
      <c r="H19">
        <v>46038.713113425925</v>
      </c>
      <c r="I19">
        <v>548435167919</v>
      </c>
      <c r="J19">
        <v>1</v>
      </c>
      <c r="K19" t="s">
        <v>284</v>
      </c>
      <c r="L19" t="s">
        <v>285</v>
      </c>
      <c r="M19">
        <v>34029011</v>
      </c>
      <c r="N19" t="s">
        <v>286</v>
      </c>
      <c r="O19" t="s">
        <v>287</v>
      </c>
      <c r="P19" t="s">
        <v>111</v>
      </c>
      <c r="Q19" t="s">
        <v>112</v>
      </c>
      <c r="R19" t="s">
        <v>113</v>
      </c>
      <c r="S19" t="s">
        <v>114</v>
      </c>
      <c r="T19">
        <v>110061</v>
      </c>
      <c r="U19" t="s">
        <v>112</v>
      </c>
      <c r="V19" t="s">
        <v>113</v>
      </c>
      <c r="W19" t="s">
        <v>114</v>
      </c>
      <c r="X19">
        <v>110061</v>
      </c>
      <c r="Y19" t="s">
        <v>288</v>
      </c>
      <c r="Z19" t="s">
        <v>196</v>
      </c>
      <c r="AA19" t="s">
        <v>117</v>
      </c>
      <c r="AB19" t="s">
        <v>118</v>
      </c>
      <c r="AC19" t="s">
        <v>114</v>
      </c>
      <c r="AD19">
        <v>560098</v>
      </c>
      <c r="AE19">
        <v>890.01</v>
      </c>
      <c r="AF19">
        <v>754.25</v>
      </c>
      <c r="AG19">
        <v>135.76</v>
      </c>
      <c r="AH19">
        <v>0</v>
      </c>
      <c r="AI19">
        <v>0</v>
      </c>
      <c r="AJ19">
        <v>0</v>
      </c>
      <c r="AK19">
        <v>0.18</v>
      </c>
      <c r="AL19">
        <v>0</v>
      </c>
      <c r="AM19">
        <v>890.01</v>
      </c>
      <c r="AN19">
        <v>754.25</v>
      </c>
      <c r="AO19">
        <v>0</v>
      </c>
      <c r="AP19">
        <v>0</v>
      </c>
      <c r="AQ19">
        <v>0</v>
      </c>
      <c r="AR19">
        <v>135.76</v>
      </c>
      <c r="AS19">
        <v>0</v>
      </c>
      <c r="AT19">
        <f>AH19+AI19+AK19</f>
      </c>
      <c r="AU19">
        <f>AF19-AV19</f>
      </c>
      <c r="AV19">
        <f>BE19+BL19+BY19+BV19</f>
      </c>
      <c r="AW19">
        <f>IF(V19=Z19,AU19*AH19,0)</f>
      </c>
      <c r="AX19">
        <f>IF(V19=Z19,AU19*AI19,0)</f>
      </c>
      <c r="AY19">
        <f>IF(V19&lt;&gt;Z19,AU19*AK19,0)</f>
      </c>
      <c r="AZ19">
        <f>IF(V19=Z19,AV19*AT19,0)</f>
      </c>
      <c r="BA19">
        <f>IF(V19=Z19,AV19*AT19,0)</f>
      </c>
      <c r="BB19">
        <f>IF(V19&lt;&gt;Z19,AV19*AT19,0)</f>
      </c>
      <c r="BC19">
        <f>AU19+AV19+AW19+AX19+AY19+AZ19+BA19+BB19-CB19-CD19-CH19</f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0.005</v>
      </c>
      <c r="CH19">
        <v>3.77</v>
      </c>
      <c r="CJ19" t="s">
        <v>138</v>
      </c>
      <c r="CK19" t="s">
        <v>139</v>
      </c>
      <c r="CL19" t="s">
        <v>288</v>
      </c>
      <c r="CM19" t="s">
        <v>196</v>
      </c>
      <c r="CN19" t="s">
        <v>114</v>
      </c>
      <c r="CO19">
        <v>560055</v>
      </c>
      <c r="CP19" t="s">
        <v>289</v>
      </c>
      <c r="CR19" t="s">
        <v>290</v>
      </c>
      <c r="CU19" t="s">
        <v>291</v>
      </c>
      <c r="CV19" t="s">
        <v>127</v>
      </c>
      <c r="CW19">
        <v>46038.504282407404</v>
      </c>
    </row>
    <row r="20" spans="1:102" x14ac:dyDescent="0.25">
      <c r="A20" t="s">
        <v>128</v>
      </c>
      <c r="B20" t="s">
        <v>292</v>
      </c>
      <c r="C20">
        <v>46040.533229166664</v>
      </c>
      <c r="D20" t="s">
        <v>104</v>
      </c>
      <c r="E20" t="s">
        <v>293</v>
      </c>
      <c r="F20" t="s">
        <v>294</v>
      </c>
      <c r="G20">
        <v>46041.6675</v>
      </c>
      <c r="H20">
        <v>46040.513333333336</v>
      </c>
      <c r="I20">
        <v>548506238322</v>
      </c>
      <c r="J20">
        <v>1</v>
      </c>
      <c r="K20" t="s">
        <v>295</v>
      </c>
      <c r="L20" t="s">
        <v>296</v>
      </c>
      <c r="M20">
        <v>34022090</v>
      </c>
      <c r="N20" t="s">
        <v>297</v>
      </c>
      <c r="O20" t="s">
        <v>298</v>
      </c>
      <c r="P20" t="s">
        <v>111</v>
      </c>
      <c r="Q20" t="s">
        <v>112</v>
      </c>
      <c r="R20" t="s">
        <v>113</v>
      </c>
      <c r="S20" t="s">
        <v>114</v>
      </c>
      <c r="T20">
        <v>110061</v>
      </c>
      <c r="U20" t="s">
        <v>112</v>
      </c>
      <c r="V20" t="s">
        <v>113</v>
      </c>
      <c r="W20" t="s">
        <v>114</v>
      </c>
      <c r="X20">
        <v>110061</v>
      </c>
      <c r="Y20" t="s">
        <v>299</v>
      </c>
      <c r="Z20" t="s">
        <v>300</v>
      </c>
      <c r="AA20" t="s">
        <v>117</v>
      </c>
      <c r="AB20" t="s">
        <v>118</v>
      </c>
      <c r="AC20" t="s">
        <v>114</v>
      </c>
      <c r="AD20">
        <v>180016</v>
      </c>
      <c r="AE20">
        <v>226.71</v>
      </c>
      <c r="AF20">
        <v>192.13</v>
      </c>
      <c r="AG20">
        <v>34.58</v>
      </c>
      <c r="AH20">
        <v>0</v>
      </c>
      <c r="AI20">
        <v>0</v>
      </c>
      <c r="AJ20">
        <v>0</v>
      </c>
      <c r="AK20">
        <v>0.18</v>
      </c>
      <c r="AL20">
        <v>0</v>
      </c>
      <c r="AM20">
        <v>226.71</v>
      </c>
      <c r="AN20">
        <v>192.13</v>
      </c>
      <c r="AO20">
        <v>0</v>
      </c>
      <c r="AP20">
        <v>0</v>
      </c>
      <c r="AQ20">
        <v>0</v>
      </c>
      <c r="AR20">
        <v>34.58</v>
      </c>
      <c r="AS20">
        <v>0</v>
      </c>
      <c r="AT20">
        <f>AH20+AI20+AK20</f>
      </c>
      <c r="AU20">
        <f>AF20-AV20</f>
      </c>
      <c r="AV20">
        <f>BE20+BL20+BY20+BV20</f>
      </c>
      <c r="AW20">
        <f>IF(V20=Z20,AU20*AH20,0)</f>
      </c>
      <c r="AX20">
        <f>IF(V20=Z20,AU20*AI20,0)</f>
      </c>
      <c r="AY20">
        <f>IF(V20&lt;&gt;Z20,AU20*AK20,0)</f>
      </c>
      <c r="AZ20">
        <f>IF(V20=Z20,AV20*AT20,0)</f>
      </c>
      <c r="BA20">
        <f>IF(V20=Z20,AV20*AT20,0)</f>
      </c>
      <c r="BB20">
        <f>IF(V20&lt;&gt;Z20,AV20*AT20,0)</f>
      </c>
      <c r="BC20">
        <f>AU20+AV20+AW20+AX20+AY20+AZ20+BA20+BB20-CB20-CD20-CH20</f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0.005</v>
      </c>
      <c r="CH20">
        <v>0.96</v>
      </c>
      <c r="CJ20" t="s">
        <v>138</v>
      </c>
      <c r="CK20" t="s">
        <v>139</v>
      </c>
      <c r="CL20" t="s">
        <v>301</v>
      </c>
      <c r="CM20" t="s">
        <v>300</v>
      </c>
      <c r="CN20" t="s">
        <v>114</v>
      </c>
      <c r="CO20">
        <v>180001</v>
      </c>
      <c r="CP20" t="s">
        <v>302</v>
      </c>
      <c r="CR20" t="s">
        <v>303</v>
      </c>
      <c r="CV20" t="s">
        <v>187</v>
      </c>
    </row>
    <row r="21" spans="1:102" x14ac:dyDescent="0.25">
      <c r="A21" t="s">
        <v>128</v>
      </c>
      <c r="B21" t="s">
        <v>304</v>
      </c>
      <c r="C21">
        <v>46041.80515046296</v>
      </c>
      <c r="D21" t="s">
        <v>104</v>
      </c>
      <c r="E21" t="s">
        <v>305</v>
      </c>
      <c r="F21" t="s">
        <v>306</v>
      </c>
      <c r="G21">
        <v>46042.667395833334</v>
      </c>
      <c r="H21">
        <v>46041.78525462963</v>
      </c>
      <c r="I21">
        <v>548469534507</v>
      </c>
      <c r="J21">
        <v>1</v>
      </c>
      <c r="K21" t="s">
        <v>146</v>
      </c>
      <c r="L21" t="s">
        <v>147</v>
      </c>
      <c r="M21">
        <v>34029099</v>
      </c>
      <c r="N21" t="s">
        <v>148</v>
      </c>
      <c r="O21" t="s">
        <v>149</v>
      </c>
      <c r="P21" t="s">
        <v>111</v>
      </c>
      <c r="Q21" t="s">
        <v>112</v>
      </c>
      <c r="R21" t="s">
        <v>113</v>
      </c>
      <c r="S21" t="s">
        <v>114</v>
      </c>
      <c r="T21">
        <v>110061</v>
      </c>
      <c r="U21" t="s">
        <v>112</v>
      </c>
      <c r="V21" t="s">
        <v>113</v>
      </c>
      <c r="W21" t="s">
        <v>114</v>
      </c>
      <c r="X21">
        <v>110061</v>
      </c>
      <c r="Y21" t="s">
        <v>307</v>
      </c>
      <c r="Z21" t="s">
        <v>137</v>
      </c>
      <c r="AA21" t="s">
        <v>117</v>
      </c>
      <c r="AB21" t="s">
        <v>118</v>
      </c>
      <c r="AC21" t="s">
        <v>114</v>
      </c>
      <c r="AD21">
        <v>600020</v>
      </c>
      <c r="AE21">
        <v>209.88</v>
      </c>
      <c r="AF21">
        <v>177.86</v>
      </c>
      <c r="AG21">
        <v>32.02</v>
      </c>
      <c r="AH21">
        <v>0</v>
      </c>
      <c r="AI21">
        <v>0</v>
      </c>
      <c r="AJ21">
        <v>0</v>
      </c>
      <c r="AK21">
        <v>0.18</v>
      </c>
      <c r="AL21">
        <v>0</v>
      </c>
      <c r="AM21">
        <v>209.88</v>
      </c>
      <c r="AN21">
        <v>177.86</v>
      </c>
      <c r="AO21">
        <v>0</v>
      </c>
      <c r="AP21">
        <v>0</v>
      </c>
      <c r="AQ21">
        <v>0</v>
      </c>
      <c r="AR21">
        <v>32.02</v>
      </c>
      <c r="AS21">
        <v>0</v>
      </c>
      <c r="AT21">
        <f>AH21+AI21+AK21</f>
      </c>
      <c r="AU21">
        <f>AF21-AV21</f>
      </c>
      <c r="AV21">
        <f>BE21+BL21+BY21+BV21</f>
      </c>
      <c r="AW21">
        <f>IF(V21=Z21,AU21*AH21,0)</f>
      </c>
      <c r="AX21">
        <f>IF(V21=Z21,AU21*AI21,0)</f>
      </c>
      <c r="AY21">
        <f>IF(V21&lt;&gt;Z21,AU21*AK21,0)</f>
      </c>
      <c r="AZ21">
        <f>IF(V21=Z21,AV21*AT21,0)</f>
      </c>
      <c r="BA21">
        <f>IF(V21=Z21,AV21*AT21,0)</f>
      </c>
      <c r="BB21">
        <f>IF(V21&lt;&gt;Z21,AV21*AT21,0)</f>
      </c>
      <c r="BC21">
        <f>AU21+AV21+AW21+AX21+AY21+AZ21+BA21+BB21-CB21-CD21-CH21</f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0.005</v>
      </c>
      <c r="CH21">
        <v>0.89</v>
      </c>
      <c r="CJ21" t="s">
        <v>138</v>
      </c>
      <c r="CK21" t="s">
        <v>184</v>
      </c>
      <c r="CL21" t="s">
        <v>307</v>
      </c>
      <c r="CM21" t="s">
        <v>137</v>
      </c>
      <c r="CN21" t="s">
        <v>114</v>
      </c>
      <c r="CO21">
        <v>600020</v>
      </c>
      <c r="CP21" t="s">
        <v>308</v>
      </c>
      <c r="CR21" t="s">
        <v>309</v>
      </c>
      <c r="CU21" t="s">
        <v>310</v>
      </c>
      <c r="CV21" t="s">
        <v>127</v>
      </c>
      <c r="CW21">
        <v>46041.57581018518</v>
      </c>
    </row>
    <row r="22" spans="1:102" x14ac:dyDescent="0.25">
      <c r="A22" t="s">
        <v>128</v>
      </c>
      <c r="B22" t="s">
        <v>311</v>
      </c>
      <c r="C22">
        <v>46046.34400462963</v>
      </c>
      <c r="D22" t="s">
        <v>104</v>
      </c>
      <c r="E22" t="s">
        <v>312</v>
      </c>
      <c r="F22" t="s">
        <v>313</v>
      </c>
      <c r="G22">
        <v>46046.6478125</v>
      </c>
      <c r="H22">
        <v>46046.323483796295</v>
      </c>
      <c r="I22">
        <v>549325974933</v>
      </c>
      <c r="J22">
        <v>1</v>
      </c>
      <c r="K22" t="s">
        <v>314</v>
      </c>
      <c r="L22" t="s">
        <v>315</v>
      </c>
      <c r="M22">
        <v>34029092</v>
      </c>
      <c r="N22" t="s">
        <v>316</v>
      </c>
      <c r="O22" t="s">
        <v>317</v>
      </c>
      <c r="P22" t="s">
        <v>111</v>
      </c>
      <c r="Q22" t="s">
        <v>112</v>
      </c>
      <c r="R22" t="s">
        <v>113</v>
      </c>
      <c r="S22" t="s">
        <v>114</v>
      </c>
      <c r="T22">
        <v>110061</v>
      </c>
      <c r="U22" t="s">
        <v>112</v>
      </c>
      <c r="V22" t="s">
        <v>113</v>
      </c>
      <c r="W22" t="s">
        <v>114</v>
      </c>
      <c r="X22">
        <v>110061</v>
      </c>
      <c r="Y22" t="s">
        <v>318</v>
      </c>
      <c r="Z22" t="s">
        <v>319</v>
      </c>
      <c r="AA22" t="s">
        <v>117</v>
      </c>
      <c r="AB22" t="s">
        <v>118</v>
      </c>
      <c r="AC22" t="s">
        <v>114</v>
      </c>
      <c r="AD22">
        <v>795001</v>
      </c>
      <c r="AE22">
        <v>989.01</v>
      </c>
      <c r="AF22">
        <v>838.14</v>
      </c>
      <c r="AG22">
        <v>150.87</v>
      </c>
      <c r="AH22">
        <v>0</v>
      </c>
      <c r="AI22">
        <v>0</v>
      </c>
      <c r="AJ22">
        <v>0</v>
      </c>
      <c r="AK22">
        <v>0.18</v>
      </c>
      <c r="AL22">
        <v>0</v>
      </c>
      <c r="AM22">
        <v>989.01</v>
      </c>
      <c r="AN22">
        <v>838.14</v>
      </c>
      <c r="AO22">
        <v>0</v>
      </c>
      <c r="AP22">
        <v>0</v>
      </c>
      <c r="AQ22">
        <v>0</v>
      </c>
      <c r="AR22">
        <v>150.87</v>
      </c>
      <c r="AS22">
        <v>0</v>
      </c>
      <c r="AT22">
        <f>AH22+AI22+AK22</f>
      </c>
      <c r="AU22">
        <f>AF22-AV22</f>
      </c>
      <c r="AV22">
        <f>BE22+BL22+BY22+BV22</f>
      </c>
      <c r="AW22">
        <f>IF(V22=Z22,AU22*AH22,0)</f>
      </c>
      <c r="AX22">
        <f>IF(V22=Z22,AU22*AI22,0)</f>
      </c>
      <c r="AY22">
        <f>IF(V22&lt;&gt;Z22,AU22*AK22,0)</f>
      </c>
      <c r="AZ22">
        <f>IF(V22=Z22,AV22*AT22,0)</f>
      </c>
      <c r="BA22">
        <f>IF(V22=Z22,AV22*AT22,0)</f>
      </c>
      <c r="BB22">
        <f>IF(V22&lt;&gt;Z22,AV22*AT22,0)</f>
      </c>
      <c r="BC22">
        <f>AU22+AV22+AW22+AX22+AY22+AZ22+BA22+BB22-CB22-CD22-CH22</f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0.005</v>
      </c>
      <c r="CH22">
        <v>4.19</v>
      </c>
      <c r="CJ22" t="s">
        <v>138</v>
      </c>
      <c r="CK22" t="s">
        <v>121</v>
      </c>
      <c r="CL22" t="s">
        <v>318</v>
      </c>
      <c r="CM22" t="s">
        <v>319</v>
      </c>
      <c r="CN22" t="s">
        <v>114</v>
      </c>
      <c r="CO22">
        <v>795001</v>
      </c>
      <c r="CP22" t="s">
        <v>320</v>
      </c>
      <c r="CR22" t="s">
        <v>321</v>
      </c>
      <c r="CU22" t="s">
        <v>322</v>
      </c>
      <c r="CV22" t="s">
        <v>127</v>
      </c>
      <c r="CW22">
        <v>46046.114699074074</v>
      </c>
    </row>
    <row r="23" spans="1:102" x14ac:dyDescent="0.25">
      <c r="A23" t="s">
        <v>128</v>
      </c>
      <c r="B23" t="s">
        <v>323</v>
      </c>
      <c r="C23">
        <v>46046.45819444444</v>
      </c>
      <c r="D23" t="s">
        <v>104</v>
      </c>
      <c r="E23" t="s">
        <v>324</v>
      </c>
      <c r="F23" t="s">
        <v>325</v>
      </c>
      <c r="G23">
        <v>46049.69050925926</v>
      </c>
      <c r="H23">
        <v>46046.438680555555</v>
      </c>
      <c r="I23">
        <v>549203737732</v>
      </c>
      <c r="J23">
        <v>1</v>
      </c>
      <c r="K23" t="s">
        <v>326</v>
      </c>
      <c r="L23" t="s">
        <v>327</v>
      </c>
      <c r="M23">
        <v>34029092</v>
      </c>
      <c r="N23" t="s">
        <v>328</v>
      </c>
      <c r="O23" t="s">
        <v>329</v>
      </c>
      <c r="P23" t="s">
        <v>111</v>
      </c>
      <c r="Q23" t="s">
        <v>112</v>
      </c>
      <c r="R23" t="s">
        <v>113</v>
      </c>
      <c r="S23" t="s">
        <v>114</v>
      </c>
      <c r="T23">
        <v>110061</v>
      </c>
      <c r="U23" t="s">
        <v>112</v>
      </c>
      <c r="V23" t="s">
        <v>113</v>
      </c>
      <c r="W23" t="s">
        <v>114</v>
      </c>
      <c r="X23">
        <v>110061</v>
      </c>
      <c r="Y23" t="s">
        <v>207</v>
      </c>
      <c r="Z23" t="s">
        <v>208</v>
      </c>
      <c r="AA23" t="s">
        <v>117</v>
      </c>
      <c r="AB23" t="s">
        <v>118</v>
      </c>
      <c r="AC23" t="s">
        <v>114</v>
      </c>
      <c r="AD23">
        <v>500073</v>
      </c>
      <c r="AE23">
        <v>395.01</v>
      </c>
      <c r="AF23">
        <v>334.75</v>
      </c>
      <c r="AG23">
        <v>60.26</v>
      </c>
      <c r="AH23">
        <v>0</v>
      </c>
      <c r="AI23">
        <v>0</v>
      </c>
      <c r="AJ23">
        <v>0</v>
      </c>
      <c r="AK23">
        <v>0.18</v>
      </c>
      <c r="AL23">
        <v>0</v>
      </c>
      <c r="AM23">
        <v>395.01</v>
      </c>
      <c r="AN23">
        <v>334.75</v>
      </c>
      <c r="AO23">
        <v>0</v>
      </c>
      <c r="AP23">
        <v>0</v>
      </c>
      <c r="AQ23">
        <v>0</v>
      </c>
      <c r="AR23">
        <v>60.26</v>
      </c>
      <c r="AS23">
        <v>0</v>
      </c>
      <c r="AT23">
        <f>AH23+AI23+AK23</f>
      </c>
      <c r="AU23">
        <f>AF23-AV23</f>
      </c>
      <c r="AV23">
        <f>BE23+BL23+BY23+BV23</f>
      </c>
      <c r="AW23">
        <f>IF(V23=Z23,AU23*AH23,0)</f>
      </c>
      <c r="AX23">
        <f>IF(V23=Z23,AU23*AI23,0)</f>
      </c>
      <c r="AY23">
        <f>IF(V23&lt;&gt;Z23,AU23*AK23,0)</f>
      </c>
      <c r="AZ23">
        <f>IF(V23=Z23,AV23*AT23,0)</f>
      </c>
      <c r="BA23">
        <f>IF(V23=Z23,AV23*AT23,0)</f>
      </c>
      <c r="BB23">
        <f>IF(V23&lt;&gt;Z23,AV23*AT23,0)</f>
      </c>
      <c r="BC23">
        <f>AU23+AV23+AW23+AX23+AY23+AZ23+BA23+BB23-CB23-CD23-CH23</f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0.005</v>
      </c>
      <c r="CH23">
        <v>1.67</v>
      </c>
      <c r="CJ23" t="s">
        <v>138</v>
      </c>
      <c r="CK23" t="s">
        <v>121</v>
      </c>
      <c r="CL23" t="s">
        <v>207</v>
      </c>
      <c r="CM23" t="s">
        <v>208</v>
      </c>
      <c r="CN23" t="s">
        <v>114</v>
      </c>
      <c r="CO23">
        <v>500073</v>
      </c>
      <c r="CP23" t="s">
        <v>330</v>
      </c>
      <c r="CR23" t="s">
        <v>331</v>
      </c>
      <c r="CU23" t="s">
        <v>332</v>
      </c>
      <c r="CV23" t="s">
        <v>127</v>
      </c>
      <c r="CW23">
        <v>46046.22928240741</v>
      </c>
    </row>
    <row r="24" spans="1:102" x14ac:dyDescent="0.25">
      <c r="A24" t="s">
        <v>128</v>
      </c>
      <c r="B24" t="s">
        <v>333</v>
      </c>
      <c r="C24">
        <v>46049.77210648148</v>
      </c>
      <c r="D24" t="s">
        <v>104</v>
      </c>
      <c r="E24" t="s">
        <v>334</v>
      </c>
      <c r="F24" t="s">
        <v>335</v>
      </c>
      <c r="G24">
        <v>46050.73133101852</v>
      </c>
      <c r="H24">
        <v>46049.75555555556</v>
      </c>
      <c r="I24">
        <v>549164392922</v>
      </c>
      <c r="J24">
        <v>2</v>
      </c>
      <c r="K24" t="s">
        <v>314</v>
      </c>
      <c r="L24" t="s">
        <v>315</v>
      </c>
      <c r="M24">
        <v>34029092</v>
      </c>
      <c r="N24" t="s">
        <v>316</v>
      </c>
      <c r="O24" t="s">
        <v>317</v>
      </c>
      <c r="P24" t="s">
        <v>111</v>
      </c>
      <c r="Q24" t="s">
        <v>112</v>
      </c>
      <c r="R24" t="s">
        <v>113</v>
      </c>
      <c r="S24" t="s">
        <v>114</v>
      </c>
      <c r="T24">
        <v>110061</v>
      </c>
      <c r="U24" t="s">
        <v>112</v>
      </c>
      <c r="V24" t="s">
        <v>113</v>
      </c>
      <c r="W24" t="s">
        <v>114</v>
      </c>
      <c r="X24">
        <v>110061</v>
      </c>
      <c r="Y24" t="s">
        <v>152</v>
      </c>
      <c r="Z24" t="s">
        <v>153</v>
      </c>
      <c r="AA24" t="s">
        <v>117</v>
      </c>
      <c r="AB24" t="s">
        <v>118</v>
      </c>
      <c r="AC24" t="s">
        <v>114</v>
      </c>
      <c r="AD24">
        <v>400013</v>
      </c>
      <c r="AE24">
        <v>1978.02</v>
      </c>
      <c r="AF24">
        <v>1676.28</v>
      </c>
      <c r="AG24">
        <v>301.74</v>
      </c>
      <c r="AH24">
        <v>0</v>
      </c>
      <c r="AI24">
        <v>0</v>
      </c>
      <c r="AJ24">
        <v>0</v>
      </c>
      <c r="AK24">
        <v>0.18</v>
      </c>
      <c r="AL24">
        <v>0</v>
      </c>
      <c r="AM24">
        <v>1978.02</v>
      </c>
      <c r="AN24">
        <v>1676.28</v>
      </c>
      <c r="AO24">
        <v>0</v>
      </c>
      <c r="AP24">
        <v>0</v>
      </c>
      <c r="AQ24">
        <v>0</v>
      </c>
      <c r="AR24">
        <v>301.74</v>
      </c>
      <c r="AS24">
        <v>0</v>
      </c>
      <c r="AT24">
        <f>AH24+AI24+AK24</f>
      </c>
      <c r="AU24">
        <f>AF24-AV24</f>
      </c>
      <c r="AV24">
        <f>BE24+BL24+BY24+BV24</f>
      </c>
      <c r="AW24">
        <f>IF(V24=Z24,AU24*AH24,0)</f>
      </c>
      <c r="AX24">
        <f>IF(V24=Z24,AU24*AI24,0)</f>
      </c>
      <c r="AY24">
        <f>IF(V24&lt;&gt;Z24,AU24*AK24,0)</f>
      </c>
      <c r="AZ24">
        <f>IF(V24=Z24,AV24*AT24,0)</f>
      </c>
      <c r="BA24">
        <f>IF(V24=Z24,AV24*AT24,0)</f>
      </c>
      <c r="BB24">
        <f>IF(V24&lt;&gt;Z24,AV24*AT24,0)</f>
      </c>
      <c r="BC24">
        <f>AU24+AV24+AW24+AX24+AY24+AZ24+BA24+BB24-CB24-CD24-CH24</f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0.005</v>
      </c>
      <c r="CH24">
        <v>8.38</v>
      </c>
      <c r="CJ24" t="s">
        <v>138</v>
      </c>
      <c r="CK24" t="s">
        <v>121</v>
      </c>
      <c r="CL24" t="s">
        <v>251</v>
      </c>
      <c r="CM24" t="s">
        <v>153</v>
      </c>
      <c r="CN24" t="s">
        <v>114</v>
      </c>
      <c r="CO24">
        <v>400071</v>
      </c>
      <c r="CP24" t="s">
        <v>336</v>
      </c>
      <c r="CR24" t="s">
        <v>337</v>
      </c>
      <c r="CU24" t="s">
        <v>338</v>
      </c>
      <c r="CV24" t="s">
        <v>127</v>
      </c>
      <c r="CW24">
        <v>46049.543171296296</v>
      </c>
    </row>
    <row r="25" spans="1:102" x14ac:dyDescent="0.25">
      <c r="A25" t="s">
        <v>128</v>
      </c>
      <c r="B25" t="s">
        <v>339</v>
      </c>
      <c r="C25">
        <v>46048.678402777776</v>
      </c>
      <c r="D25" t="s">
        <v>104</v>
      </c>
      <c r="E25" t="s">
        <v>340</v>
      </c>
      <c r="F25" t="s">
        <v>341</v>
      </c>
      <c r="G25">
        <v>46051.584861111114</v>
      </c>
      <c r="H25">
        <v>46048.66074074074</v>
      </c>
      <c r="I25">
        <v>549238745092</v>
      </c>
      <c r="J25">
        <v>1</v>
      </c>
      <c r="K25" t="s">
        <v>342</v>
      </c>
      <c r="L25" t="s">
        <v>343</v>
      </c>
      <c r="M25">
        <v>34013090</v>
      </c>
      <c r="N25" t="s">
        <v>344</v>
      </c>
      <c r="O25" t="s">
        <v>345</v>
      </c>
      <c r="P25" t="s">
        <v>111</v>
      </c>
      <c r="Q25" t="s">
        <v>112</v>
      </c>
      <c r="R25" t="s">
        <v>113</v>
      </c>
      <c r="S25" t="s">
        <v>114</v>
      </c>
      <c r="T25">
        <v>110061</v>
      </c>
      <c r="U25" t="s">
        <v>112</v>
      </c>
      <c r="V25" t="s">
        <v>113</v>
      </c>
      <c r="W25" t="s">
        <v>114</v>
      </c>
      <c r="X25">
        <v>110061</v>
      </c>
      <c r="Y25" t="s">
        <v>195</v>
      </c>
      <c r="Z25" t="s">
        <v>196</v>
      </c>
      <c r="AA25" t="s">
        <v>117</v>
      </c>
      <c r="AB25" t="s">
        <v>118</v>
      </c>
      <c r="AC25" t="s">
        <v>114</v>
      </c>
      <c r="AD25">
        <v>560034</v>
      </c>
      <c r="AE25">
        <v>1099</v>
      </c>
      <c r="AF25">
        <v>931.36</v>
      </c>
      <c r="AG25">
        <v>167.64</v>
      </c>
      <c r="AH25">
        <v>0</v>
      </c>
      <c r="AI25">
        <v>0</v>
      </c>
      <c r="AJ25">
        <v>0</v>
      </c>
      <c r="AK25">
        <v>0.18</v>
      </c>
      <c r="AL25">
        <v>0</v>
      </c>
      <c r="AM25">
        <v>1099</v>
      </c>
      <c r="AN25">
        <v>931.36</v>
      </c>
      <c r="AO25">
        <v>0</v>
      </c>
      <c r="AP25">
        <v>0</v>
      </c>
      <c r="AQ25">
        <v>0</v>
      </c>
      <c r="AR25">
        <v>167.64</v>
      </c>
      <c r="AS25">
        <v>0</v>
      </c>
      <c r="AT25">
        <f>AH25+AI25+AK25</f>
      </c>
      <c r="AU25">
        <f>AF25-AV25</f>
      </c>
      <c r="AV25">
        <f>BE25+BL25+BY25+BV25</f>
      </c>
      <c r="AW25">
        <f>IF(V25=Z25,AU25*AH25,0)</f>
      </c>
      <c r="AX25">
        <f>IF(V25=Z25,AU25*AI25,0)</f>
      </c>
      <c r="AY25">
        <f>IF(V25&lt;&gt;Z25,AU25*AK25,0)</f>
      </c>
      <c r="AZ25">
        <f>IF(V25=Z25,AV25*AT25,0)</f>
      </c>
      <c r="BA25">
        <f>IF(V25=Z25,AV25*AT25,0)</f>
      </c>
      <c r="BB25">
        <f>IF(V25&lt;&gt;Z25,AV25*AT25,0)</f>
      </c>
      <c r="BC25">
        <f>AU25+AV25+AW25+AX25+AY25+AZ25+BA25+BB25-CB25-CD25-CH25</f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0.005</v>
      </c>
      <c r="CH25">
        <v>4.66</v>
      </c>
      <c r="CJ25" t="s">
        <v>138</v>
      </c>
      <c r="CK25" t="s">
        <v>139</v>
      </c>
      <c r="CL25" t="s">
        <v>195</v>
      </c>
      <c r="CM25" t="s">
        <v>196</v>
      </c>
      <c r="CN25" t="s">
        <v>114</v>
      </c>
      <c r="CO25">
        <v>560034</v>
      </c>
      <c r="CP25" t="s">
        <v>346</v>
      </c>
      <c r="CR25" t="s">
        <v>347</v>
      </c>
      <c r="CV25" t="s">
        <v>187</v>
      </c>
      <c r="CX25">
        <v>5002</v>
      </c>
    </row>
    <row r="26" spans="1:102" x14ac:dyDescent="0.25">
      <c r="A26" t="s">
        <v>128</v>
      </c>
      <c r="B26" t="s">
        <v>339</v>
      </c>
      <c r="C26">
        <v>46048.678402777776</v>
      </c>
      <c r="D26" t="s">
        <v>104</v>
      </c>
      <c r="E26" t="s">
        <v>340</v>
      </c>
      <c r="F26" t="s">
        <v>341</v>
      </c>
      <c r="G26">
        <v>46051.584861111114</v>
      </c>
      <c r="H26">
        <v>46048.66074074074</v>
      </c>
      <c r="I26">
        <v>549232335008</v>
      </c>
      <c r="J26">
        <v>1</v>
      </c>
      <c r="K26" t="s">
        <v>274</v>
      </c>
      <c r="L26" t="s">
        <v>275</v>
      </c>
      <c r="N26" t="s">
        <v>276</v>
      </c>
      <c r="O26" t="s">
        <v>277</v>
      </c>
      <c r="P26" t="s">
        <v>111</v>
      </c>
      <c r="Q26" t="s">
        <v>112</v>
      </c>
      <c r="R26" t="s">
        <v>113</v>
      </c>
      <c r="S26" t="s">
        <v>114</v>
      </c>
      <c r="T26">
        <v>110061</v>
      </c>
      <c r="U26" t="s">
        <v>112</v>
      </c>
      <c r="V26" t="s">
        <v>113</v>
      </c>
      <c r="W26" t="s">
        <v>114</v>
      </c>
      <c r="X26">
        <v>110061</v>
      </c>
      <c r="Y26" t="s">
        <v>195</v>
      </c>
      <c r="Z26" t="s">
        <v>196</v>
      </c>
      <c r="AA26" t="s">
        <v>117</v>
      </c>
      <c r="AB26" t="s">
        <v>118</v>
      </c>
      <c r="AC26" t="s">
        <v>114</v>
      </c>
      <c r="AD26">
        <v>560034</v>
      </c>
      <c r="AE26">
        <v>1048.41</v>
      </c>
      <c r="AF26">
        <v>888.48</v>
      </c>
      <c r="AG26">
        <v>159.93</v>
      </c>
      <c r="AH26">
        <v>0</v>
      </c>
      <c r="AI26">
        <v>0</v>
      </c>
      <c r="AJ26">
        <v>0</v>
      </c>
      <c r="AK26">
        <v>0.18</v>
      </c>
      <c r="AL26">
        <v>0</v>
      </c>
      <c r="AM26">
        <v>1048.41</v>
      </c>
      <c r="AN26">
        <v>888.48</v>
      </c>
      <c r="AO26">
        <v>0</v>
      </c>
      <c r="AP26">
        <v>0</v>
      </c>
      <c r="AQ26">
        <v>0</v>
      </c>
      <c r="AR26">
        <v>159.93</v>
      </c>
      <c r="AS26">
        <v>0</v>
      </c>
      <c r="AT26">
        <f>AH26+AI26+AK26</f>
      </c>
      <c r="AU26">
        <f>AF26-AV26</f>
      </c>
      <c r="AV26">
        <f>BE26+BL26+BY26+BV26</f>
      </c>
      <c r="AW26">
        <f>IF(V26=Z26,AU26*AH26,0)</f>
      </c>
      <c r="AX26">
        <f>IF(V26=Z26,AU26*AI26,0)</f>
      </c>
      <c r="AY26">
        <f>IF(V26&lt;&gt;Z26,AU26*AK26,0)</f>
      </c>
      <c r="AZ26">
        <f>IF(V26=Z26,AV26*AT26,0)</f>
      </c>
      <c r="BA26">
        <f>IF(V26=Z26,AV26*AT26,0)</f>
      </c>
      <c r="BB26">
        <f>IF(V26&lt;&gt;Z26,AV26*AT26,0)</f>
      </c>
      <c r="BC26">
        <f>AU26+AV26+AW26+AX26+AY26+AZ26+BA26+BB26-CB26-CD26-CH26</f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0.005</v>
      </c>
      <c r="CH26">
        <v>4.44</v>
      </c>
      <c r="CJ26" t="s">
        <v>138</v>
      </c>
      <c r="CK26" t="s">
        <v>139</v>
      </c>
      <c r="CL26" t="s">
        <v>195</v>
      </c>
      <c r="CM26" t="s">
        <v>196</v>
      </c>
      <c r="CN26" t="s">
        <v>114</v>
      </c>
      <c r="CO26">
        <v>560034</v>
      </c>
      <c r="CP26" t="s">
        <v>346</v>
      </c>
      <c r="CR26" t="s">
        <v>347</v>
      </c>
      <c r="CV26" t="s">
        <v>187</v>
      </c>
      <c r="CX26">
        <v>5002</v>
      </c>
    </row>
    <row r="27" spans="1:102" x14ac:dyDescent="0.25">
      <c r="A27" t="s">
        <v>128</v>
      </c>
      <c r="B27" t="s">
        <v>339</v>
      </c>
      <c r="C27">
        <v>46048.678402777776</v>
      </c>
      <c r="D27" t="s">
        <v>104</v>
      </c>
      <c r="E27" t="s">
        <v>340</v>
      </c>
      <c r="F27" t="s">
        <v>341</v>
      </c>
      <c r="G27">
        <v>46051.584861111114</v>
      </c>
      <c r="H27">
        <v>46048.66074074074</v>
      </c>
      <c r="I27">
        <v>549233220705</v>
      </c>
      <c r="J27">
        <v>1</v>
      </c>
      <c r="K27" t="s">
        <v>348</v>
      </c>
      <c r="L27" t="s">
        <v>349</v>
      </c>
      <c r="N27" t="s">
        <v>350</v>
      </c>
      <c r="O27" t="s">
        <v>351</v>
      </c>
      <c r="P27" t="s">
        <v>111</v>
      </c>
      <c r="Q27" t="s">
        <v>112</v>
      </c>
      <c r="R27" t="s">
        <v>113</v>
      </c>
      <c r="S27" t="s">
        <v>114</v>
      </c>
      <c r="T27">
        <v>110061</v>
      </c>
      <c r="U27" t="s">
        <v>112</v>
      </c>
      <c r="V27" t="s">
        <v>113</v>
      </c>
      <c r="W27" t="s">
        <v>114</v>
      </c>
      <c r="X27">
        <v>110061</v>
      </c>
      <c r="Y27" t="s">
        <v>195</v>
      </c>
      <c r="Z27" t="s">
        <v>196</v>
      </c>
      <c r="AA27" t="s">
        <v>117</v>
      </c>
      <c r="AB27" t="s">
        <v>118</v>
      </c>
      <c r="AC27" t="s">
        <v>114</v>
      </c>
      <c r="AD27">
        <v>560034</v>
      </c>
      <c r="AE27">
        <v>494.01</v>
      </c>
      <c r="AF27">
        <v>418.65</v>
      </c>
      <c r="AG27">
        <v>75.36</v>
      </c>
      <c r="AH27">
        <v>0</v>
      </c>
      <c r="AI27">
        <v>0</v>
      </c>
      <c r="AJ27">
        <v>0</v>
      </c>
      <c r="AK27">
        <v>0.18</v>
      </c>
      <c r="AL27">
        <v>0</v>
      </c>
      <c r="AM27">
        <v>494.01</v>
      </c>
      <c r="AN27">
        <v>418.65</v>
      </c>
      <c r="AO27">
        <v>0</v>
      </c>
      <c r="AP27">
        <v>0</v>
      </c>
      <c r="AQ27">
        <v>0</v>
      </c>
      <c r="AR27">
        <v>75.36</v>
      </c>
      <c r="AS27">
        <v>0</v>
      </c>
      <c r="AT27">
        <f>AH27+AI27+AK27</f>
      </c>
      <c r="AU27">
        <f>AF27-AV27</f>
      </c>
      <c r="AV27">
        <f>BE27+BL27+BY27+BV27</f>
      </c>
      <c r="AW27">
        <f>IF(V27=Z27,AU27*AH27,0)</f>
      </c>
      <c r="AX27">
        <f>IF(V27=Z27,AU27*AI27,0)</f>
      </c>
      <c r="AY27">
        <f>IF(V27&lt;&gt;Z27,AU27*AK27,0)</f>
      </c>
      <c r="AZ27">
        <f>IF(V27=Z27,AV27*AT27,0)</f>
      </c>
      <c r="BA27">
        <f>IF(V27=Z27,AV27*AT27,0)</f>
      </c>
      <c r="BB27">
        <f>IF(V27&lt;&gt;Z27,AV27*AT27,0)</f>
      </c>
      <c r="BC27">
        <f>AU27+AV27+AW27+AX27+AY27+AZ27+BA27+BB27-CB27-CD27-CH27</f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0.005</v>
      </c>
      <c r="CH27">
        <v>2.09</v>
      </c>
      <c r="CJ27" t="s">
        <v>138</v>
      </c>
      <c r="CK27" t="s">
        <v>139</v>
      </c>
      <c r="CL27" t="s">
        <v>195</v>
      </c>
      <c r="CM27" t="s">
        <v>196</v>
      </c>
      <c r="CN27" t="s">
        <v>114</v>
      </c>
      <c r="CO27">
        <v>560034</v>
      </c>
      <c r="CP27" t="s">
        <v>346</v>
      </c>
      <c r="CR27" t="s">
        <v>347</v>
      </c>
      <c r="CV27" t="s">
        <v>187</v>
      </c>
      <c r="CX27">
        <v>5002</v>
      </c>
    </row>
    <row r="28" spans="1:102" x14ac:dyDescent="0.25">
      <c r="A28" t="s">
        <v>128</v>
      </c>
      <c r="B28" t="s">
        <v>339</v>
      </c>
      <c r="C28">
        <v>46048.678402777776</v>
      </c>
      <c r="D28" t="s">
        <v>104</v>
      </c>
      <c r="E28" t="s">
        <v>340</v>
      </c>
      <c r="F28" t="s">
        <v>341</v>
      </c>
      <c r="G28">
        <v>46051.584861111114</v>
      </c>
      <c r="H28">
        <v>46048.66074074074</v>
      </c>
      <c r="I28">
        <v>549062854131</v>
      </c>
      <c r="J28">
        <v>1</v>
      </c>
      <c r="K28" t="s">
        <v>352</v>
      </c>
      <c r="L28" t="s">
        <v>353</v>
      </c>
      <c r="M28">
        <v>34022090</v>
      </c>
      <c r="N28" t="s">
        <v>354</v>
      </c>
      <c r="O28" t="s">
        <v>355</v>
      </c>
      <c r="P28" t="s">
        <v>111</v>
      </c>
      <c r="Q28" t="s">
        <v>112</v>
      </c>
      <c r="R28" t="s">
        <v>113</v>
      </c>
      <c r="S28" t="s">
        <v>114</v>
      </c>
      <c r="T28">
        <v>110061</v>
      </c>
      <c r="U28" t="s">
        <v>112</v>
      </c>
      <c r="V28" t="s">
        <v>113</v>
      </c>
      <c r="W28" t="s">
        <v>114</v>
      </c>
      <c r="X28">
        <v>110061</v>
      </c>
      <c r="Y28" t="s">
        <v>195</v>
      </c>
      <c r="Z28" t="s">
        <v>196</v>
      </c>
      <c r="AA28" t="s">
        <v>117</v>
      </c>
      <c r="AB28" t="s">
        <v>118</v>
      </c>
      <c r="AC28" t="s">
        <v>114</v>
      </c>
      <c r="AD28">
        <v>560034</v>
      </c>
      <c r="AE28">
        <v>1059</v>
      </c>
      <c r="AF28">
        <v>897.46</v>
      </c>
      <c r="AG28">
        <v>161.54</v>
      </c>
      <c r="AH28">
        <v>0</v>
      </c>
      <c r="AI28">
        <v>0</v>
      </c>
      <c r="AJ28">
        <v>0</v>
      </c>
      <c r="AK28">
        <v>0.18</v>
      </c>
      <c r="AL28">
        <v>0</v>
      </c>
      <c r="AM28">
        <v>1059</v>
      </c>
      <c r="AN28">
        <v>897.46</v>
      </c>
      <c r="AO28">
        <v>0</v>
      </c>
      <c r="AP28">
        <v>0</v>
      </c>
      <c r="AQ28">
        <v>0</v>
      </c>
      <c r="AR28">
        <v>161.54</v>
      </c>
      <c r="AS28">
        <v>0</v>
      </c>
      <c r="AT28">
        <f>AH28+AI28+AK28</f>
      </c>
      <c r="AU28">
        <f>AF28-AV28</f>
      </c>
      <c r="AV28">
        <f>BE28+BL28+BY28+BV28</f>
      </c>
      <c r="AW28">
        <f>IF(V28=Z28,AU28*AH28,0)</f>
      </c>
      <c r="AX28">
        <f>IF(V28=Z28,AU28*AI28,0)</f>
      </c>
      <c r="AY28">
        <f>IF(V28&lt;&gt;Z28,AU28*AK28,0)</f>
      </c>
      <c r="AZ28">
        <f>IF(V28=Z28,AV28*AT28,0)</f>
      </c>
      <c r="BA28">
        <f>IF(V28=Z28,AV28*AT28,0)</f>
      </c>
      <c r="BB28">
        <f>IF(V28&lt;&gt;Z28,AV28*AT28,0)</f>
      </c>
      <c r="BC28">
        <f>AU28+AV28+AW28+AX28+AY28+AZ28+BA28+BB28-CB28-CD28-CH28</f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0.005</v>
      </c>
      <c r="CH28">
        <v>4.49</v>
      </c>
      <c r="CJ28" t="s">
        <v>138</v>
      </c>
      <c r="CK28" t="s">
        <v>139</v>
      </c>
      <c r="CL28" t="s">
        <v>195</v>
      </c>
      <c r="CM28" t="s">
        <v>196</v>
      </c>
      <c r="CN28" t="s">
        <v>114</v>
      </c>
      <c r="CO28">
        <v>560034</v>
      </c>
      <c r="CP28" t="s">
        <v>346</v>
      </c>
      <c r="CR28" t="s">
        <v>347</v>
      </c>
      <c r="CV28" t="s">
        <v>187</v>
      </c>
      <c r="CX28">
        <v>5002</v>
      </c>
    </row>
    <row r="29" spans="1:102" x14ac:dyDescent="0.25">
      <c r="A29" t="s">
        <v>128</v>
      </c>
      <c r="B29" t="s">
        <v>356</v>
      </c>
      <c r="C29">
        <v>46051.483506944445</v>
      </c>
      <c r="D29" t="s">
        <v>104</v>
      </c>
      <c r="E29" t="s">
        <v>357</v>
      </c>
      <c r="F29" t="s">
        <v>358</v>
      </c>
      <c r="G29">
        <v>46052.58461805555</v>
      </c>
      <c r="H29">
        <v>46051.468506944446</v>
      </c>
      <c r="I29">
        <v>549065066504</v>
      </c>
      <c r="J29">
        <v>1</v>
      </c>
      <c r="K29" t="s">
        <v>359</v>
      </c>
      <c r="L29" t="s">
        <v>360</v>
      </c>
      <c r="M29">
        <v>34022090</v>
      </c>
      <c r="N29" t="s">
        <v>361</v>
      </c>
      <c r="O29" t="s">
        <v>362</v>
      </c>
      <c r="P29" t="s">
        <v>111</v>
      </c>
      <c r="Q29" t="s">
        <v>112</v>
      </c>
      <c r="R29" t="s">
        <v>113</v>
      </c>
      <c r="S29" t="s">
        <v>114</v>
      </c>
      <c r="T29">
        <v>110061</v>
      </c>
      <c r="U29" t="s">
        <v>112</v>
      </c>
      <c r="V29" t="s">
        <v>113</v>
      </c>
      <c r="W29" t="s">
        <v>114</v>
      </c>
      <c r="X29">
        <v>110061</v>
      </c>
      <c r="Y29" t="s">
        <v>195</v>
      </c>
      <c r="Z29" t="s">
        <v>196</v>
      </c>
      <c r="AA29" t="s">
        <v>117</v>
      </c>
      <c r="AB29" t="s">
        <v>118</v>
      </c>
      <c r="AC29" t="s">
        <v>114</v>
      </c>
      <c r="AD29">
        <v>560058</v>
      </c>
      <c r="AE29">
        <v>226.71</v>
      </c>
      <c r="AF29">
        <v>192.13</v>
      </c>
      <c r="AG29">
        <v>34.58</v>
      </c>
      <c r="AH29">
        <v>0</v>
      </c>
      <c r="AI29">
        <v>0</v>
      </c>
      <c r="AJ29">
        <v>0</v>
      </c>
      <c r="AK29">
        <v>0.18</v>
      </c>
      <c r="AL29">
        <v>0</v>
      </c>
      <c r="AM29">
        <v>226.71</v>
      </c>
      <c r="AN29">
        <v>192.13</v>
      </c>
      <c r="AO29">
        <v>0</v>
      </c>
      <c r="AP29">
        <v>0</v>
      </c>
      <c r="AQ29">
        <v>0</v>
      </c>
      <c r="AR29">
        <v>34.58</v>
      </c>
      <c r="AS29">
        <v>0</v>
      </c>
      <c r="AT29">
        <f>AH29+AI29+AK29</f>
      </c>
      <c r="AU29">
        <f>AF29-AV29</f>
      </c>
      <c r="AV29">
        <f>BE29+BL29+BY29+BV29</f>
      </c>
      <c r="AW29">
        <f>IF(V29=Z29,AU29*AH29,0)</f>
      </c>
      <c r="AX29">
        <f>IF(V29=Z29,AU29*AI29,0)</f>
      </c>
      <c r="AY29">
        <f>IF(V29&lt;&gt;Z29,AU29*AK29,0)</f>
      </c>
      <c r="AZ29">
        <f>IF(V29=Z29,AV29*AT29,0)</f>
      </c>
      <c r="BA29">
        <f>IF(V29=Z29,AV29*AT29,0)</f>
      </c>
      <c r="BB29">
        <f>IF(V29&lt;&gt;Z29,AV29*AT29,0)</f>
      </c>
      <c r="BC29">
        <f>AU29+AV29+AW29+AX29+AY29+AZ29+BA29+BB29-CB29-CD29-CH29</f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0.005</v>
      </c>
      <c r="CH29">
        <v>0.96</v>
      </c>
      <c r="CJ29" t="s">
        <v>138</v>
      </c>
      <c r="CK29" t="s">
        <v>139</v>
      </c>
      <c r="CL29" t="s">
        <v>195</v>
      </c>
      <c r="CM29" t="s">
        <v>196</v>
      </c>
      <c r="CN29" t="s">
        <v>114</v>
      </c>
      <c r="CO29">
        <v>560058</v>
      </c>
      <c r="CP29" t="s">
        <v>363</v>
      </c>
      <c r="CR29" t="s">
        <v>364</v>
      </c>
      <c r="CU29" t="s">
        <v>365</v>
      </c>
      <c r="CV29" t="s">
        <v>127</v>
      </c>
      <c r="CW29">
        <v>46051.254282407404</v>
      </c>
    </row>
    <row r="30" spans="1:102" x14ac:dyDescent="0.25">
      <c r="A30" t="s">
        <v>128</v>
      </c>
      <c r="B30" t="s">
        <v>366</v>
      </c>
      <c r="C30">
        <v>46051.761296296296</v>
      </c>
      <c r="D30" t="s">
        <v>104</v>
      </c>
      <c r="E30" t="s">
        <v>367</v>
      </c>
      <c r="F30" t="s">
        <v>368</v>
      </c>
      <c r="G30">
        <v>46052.58457175926</v>
      </c>
      <c r="H30">
        <v>46051.74134259259</v>
      </c>
      <c r="I30">
        <v>549270454717</v>
      </c>
      <c r="J30">
        <v>10</v>
      </c>
      <c r="K30" t="s">
        <v>191</v>
      </c>
      <c r="L30" t="s">
        <v>192</v>
      </c>
      <c r="M30">
        <v>39211400</v>
      </c>
      <c r="N30" t="s">
        <v>193</v>
      </c>
      <c r="O30" t="s">
        <v>194</v>
      </c>
      <c r="P30" t="s">
        <v>111</v>
      </c>
      <c r="Q30" t="s">
        <v>112</v>
      </c>
      <c r="R30" t="s">
        <v>113</v>
      </c>
      <c r="S30" t="s">
        <v>114</v>
      </c>
      <c r="T30">
        <v>110061</v>
      </c>
      <c r="U30" t="s">
        <v>112</v>
      </c>
      <c r="V30" t="s">
        <v>113</v>
      </c>
      <c r="W30" t="s">
        <v>114</v>
      </c>
      <c r="X30">
        <v>110061</v>
      </c>
      <c r="Y30" t="s">
        <v>369</v>
      </c>
      <c r="Z30" t="s">
        <v>196</v>
      </c>
      <c r="AA30" t="s">
        <v>117</v>
      </c>
      <c r="AB30" t="s">
        <v>118</v>
      </c>
      <c r="AC30" t="s">
        <v>114</v>
      </c>
      <c r="AD30">
        <v>577101</v>
      </c>
      <c r="AE30">
        <v>2742.3</v>
      </c>
      <c r="AF30">
        <v>2324</v>
      </c>
      <c r="AG30">
        <v>418.3</v>
      </c>
      <c r="AH30">
        <v>0</v>
      </c>
      <c r="AI30">
        <v>0</v>
      </c>
      <c r="AJ30">
        <v>0</v>
      </c>
      <c r="AK30">
        <v>0.18</v>
      </c>
      <c r="AL30">
        <v>0</v>
      </c>
      <c r="AM30">
        <v>2742.3</v>
      </c>
      <c r="AN30">
        <v>2324</v>
      </c>
      <c r="AO30">
        <v>0</v>
      </c>
      <c r="AP30">
        <v>0</v>
      </c>
      <c r="AQ30">
        <v>0</v>
      </c>
      <c r="AR30">
        <v>418.3</v>
      </c>
      <c r="AS30">
        <v>0</v>
      </c>
      <c r="AT30">
        <f>AH30+AI30+AK30</f>
      </c>
      <c r="AU30">
        <f>AF30-AV30</f>
      </c>
      <c r="AV30">
        <f>BE30+BL30+BY30+BV30</f>
      </c>
      <c r="AW30">
        <f>IF(V30=Z30,AU30*AH30,0)</f>
      </c>
      <c r="AX30">
        <f>IF(V30=Z30,AU30*AI30,0)</f>
      </c>
      <c r="AY30">
        <f>IF(V30&lt;&gt;Z30,AU30*AK30,0)</f>
      </c>
      <c r="AZ30">
        <f>IF(V30=Z30,AV30*AT30,0)</f>
      </c>
      <c r="BA30">
        <f>IF(V30=Z30,AV30*AT30,0)</f>
      </c>
      <c r="BB30">
        <f>IF(V30&lt;&gt;Z30,AV30*AT30,0)</f>
      </c>
      <c r="BC30">
        <f>AU30+AV30+AW30+AX30+AY30+AZ30+BA30+BB30-CB30-CD30-CH30</f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0.005</v>
      </c>
      <c r="CH30">
        <v>11.6</v>
      </c>
      <c r="CJ30" t="s">
        <v>138</v>
      </c>
      <c r="CK30" t="s">
        <v>139</v>
      </c>
      <c r="CL30" t="s">
        <v>369</v>
      </c>
      <c r="CM30" t="s">
        <v>196</v>
      </c>
      <c r="CN30" t="s">
        <v>114</v>
      </c>
      <c r="CO30">
        <v>577101</v>
      </c>
      <c r="CP30" t="s">
        <v>370</v>
      </c>
      <c r="CR30" t="s">
        <v>371</v>
      </c>
      <c r="CU30" t="s">
        <v>372</v>
      </c>
      <c r="CV30" t="s">
        <v>127</v>
      </c>
      <c r="CW30">
        <v>46051.532060185185</v>
      </c>
    </row>
    <row r="31" spans="1:102" x14ac:dyDescent="0.25">
      <c r="A31" t="s">
        <v>373</v>
      </c>
      <c r="B31" t="s">
        <v>374</v>
      </c>
      <c r="C31">
        <v>46027.60109953704</v>
      </c>
      <c r="D31" t="s">
        <v>104</v>
      </c>
      <c r="E31" t="s">
        <v>375</v>
      </c>
      <c r="F31" t="s">
        <v>376</v>
      </c>
      <c r="G31">
        <v>46027.68269675926</v>
      </c>
      <c r="H31">
        <v>46027.55876157407</v>
      </c>
      <c r="I31">
        <v>546045449243</v>
      </c>
      <c r="J31">
        <v>6</v>
      </c>
      <c r="K31" t="s">
        <v>377</v>
      </c>
      <c r="L31" t="s">
        <v>378</v>
      </c>
      <c r="M31">
        <v>39249090</v>
      </c>
      <c r="N31" t="s">
        <v>379</v>
      </c>
      <c r="O31" t="s">
        <v>380</v>
      </c>
      <c r="P31" t="s">
        <v>111</v>
      </c>
      <c r="Q31" t="s">
        <v>112</v>
      </c>
      <c r="R31" t="s">
        <v>113</v>
      </c>
      <c r="S31" t="s">
        <v>114</v>
      </c>
      <c r="T31">
        <v>110061</v>
      </c>
      <c r="U31" t="s">
        <v>381</v>
      </c>
      <c r="V31" t="s">
        <v>382</v>
      </c>
      <c r="W31" t="s">
        <v>114</v>
      </c>
      <c r="X31">
        <v>382220</v>
      </c>
      <c r="Y31" t="s">
        <v>195</v>
      </c>
      <c r="Z31" t="s">
        <v>196</v>
      </c>
      <c r="AA31" t="s">
        <v>117</v>
      </c>
      <c r="AB31" t="s">
        <v>118</v>
      </c>
      <c r="AC31" t="s">
        <v>114</v>
      </c>
      <c r="AD31">
        <v>560071</v>
      </c>
      <c r="AE31">
        <v>2049.3</v>
      </c>
      <c r="AF31">
        <v>1736.7</v>
      </c>
      <c r="AG31">
        <v>312.6</v>
      </c>
      <c r="AH31">
        <v>0</v>
      </c>
      <c r="AI31">
        <v>0</v>
      </c>
      <c r="AJ31">
        <v>0</v>
      </c>
      <c r="AK31">
        <v>0.18</v>
      </c>
      <c r="AL31">
        <v>0</v>
      </c>
      <c r="AM31">
        <v>2049.3</v>
      </c>
      <c r="AN31">
        <v>1736.7</v>
      </c>
      <c r="AO31">
        <v>0</v>
      </c>
      <c r="AP31">
        <v>0</v>
      </c>
      <c r="AQ31">
        <v>0</v>
      </c>
      <c r="AR31">
        <v>312.6</v>
      </c>
      <c r="AS31">
        <v>0</v>
      </c>
      <c r="AT31">
        <f>AH31+AI31+AK31</f>
      </c>
      <c r="AU31">
        <f>AF31-AV31</f>
      </c>
      <c r="AV31">
        <f>BE31+BL31+BY31+BV31</f>
      </c>
      <c r="AW31">
        <f>IF(V31=Z31,AU31*AH31,0)</f>
      </c>
      <c r="AX31">
        <f>IF(V31=Z31,AU31*AI31,0)</f>
      </c>
      <c r="AY31">
        <f>IF(V31&lt;&gt;Z31,AU31*AK31,0)</f>
      </c>
      <c r="AZ31">
        <f>IF(V31=Z31,AV31*AT31,0)</f>
      </c>
      <c r="BA31">
        <f>IF(V31=Z31,AV31*AT31,0)</f>
      </c>
      <c r="BB31">
        <f>IF(V31&lt;&gt;Z31,AV31*AT31,0)</f>
      </c>
      <c r="BC31">
        <f>AU31+AV31+AW31+AX31+AY31+AZ31+BA31+BB31-CB31-CD31-CH31</f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0.005</v>
      </c>
      <c r="CH31">
        <v>8.7</v>
      </c>
      <c r="CI31" t="s">
        <v>383</v>
      </c>
      <c r="CJ31" t="s">
        <v>120</v>
      </c>
      <c r="CK31" t="s">
        <v>139</v>
      </c>
      <c r="CL31" t="s">
        <v>112</v>
      </c>
      <c r="CM31" t="s">
        <v>113</v>
      </c>
      <c r="CN31" t="s">
        <v>114</v>
      </c>
      <c r="CO31">
        <v>110087</v>
      </c>
      <c r="CP31" t="s">
        <v>197</v>
      </c>
      <c r="CR31" t="s">
        <v>198</v>
      </c>
      <c r="CU31" t="s">
        <v>384</v>
      </c>
      <c r="CV31" t="s">
        <v>127</v>
      </c>
      <c r="CW31">
        <v>46027.37233796297</v>
      </c>
    </row>
    <row r="32" spans="1:102" x14ac:dyDescent="0.25">
      <c r="A32" t="s">
        <v>385</v>
      </c>
      <c r="B32" t="s">
        <v>386</v>
      </c>
      <c r="C32">
        <v>46034.564571759256</v>
      </c>
      <c r="D32" t="s">
        <v>104</v>
      </c>
      <c r="E32" t="s">
        <v>387</v>
      </c>
      <c r="F32" t="s">
        <v>388</v>
      </c>
      <c r="G32">
        <v>46034.96173611111</v>
      </c>
      <c r="H32">
        <v>46034.558171296296</v>
      </c>
      <c r="I32">
        <v>547594737235</v>
      </c>
      <c r="J32">
        <v>1</v>
      </c>
      <c r="K32" t="s">
        <v>168</v>
      </c>
      <c r="L32" t="s">
        <v>169</v>
      </c>
      <c r="M32">
        <v>34059090</v>
      </c>
      <c r="N32" t="s">
        <v>170</v>
      </c>
      <c r="O32" t="s">
        <v>171</v>
      </c>
      <c r="P32" t="s">
        <v>111</v>
      </c>
      <c r="Q32" t="s">
        <v>112</v>
      </c>
      <c r="R32" t="s">
        <v>113</v>
      </c>
      <c r="S32" t="s">
        <v>114</v>
      </c>
      <c r="T32">
        <v>110061</v>
      </c>
      <c r="U32" t="s">
        <v>389</v>
      </c>
      <c r="V32" t="s">
        <v>153</v>
      </c>
      <c r="W32" t="s">
        <v>114</v>
      </c>
      <c r="X32">
        <v>421302</v>
      </c>
      <c r="Y32" t="s">
        <v>152</v>
      </c>
      <c r="Z32" t="s">
        <v>153</v>
      </c>
      <c r="AA32" t="s">
        <v>172</v>
      </c>
      <c r="AB32" t="s">
        <v>173</v>
      </c>
      <c r="AC32" t="s">
        <v>114</v>
      </c>
      <c r="AD32">
        <v>400102</v>
      </c>
      <c r="AE32">
        <v>266.31</v>
      </c>
      <c r="AF32">
        <v>225.69</v>
      </c>
      <c r="AG32">
        <v>40.62</v>
      </c>
      <c r="AH32">
        <v>0.09</v>
      </c>
      <c r="AI32">
        <v>0.09</v>
      </c>
      <c r="AJ32">
        <v>0</v>
      </c>
      <c r="AK32">
        <v>0</v>
      </c>
      <c r="AL32">
        <v>0</v>
      </c>
      <c r="AM32">
        <v>266.31</v>
      </c>
      <c r="AN32">
        <v>225.69</v>
      </c>
      <c r="AO32">
        <v>20.31</v>
      </c>
      <c r="AP32">
        <v>20.31</v>
      </c>
      <c r="AQ32">
        <v>0</v>
      </c>
      <c r="AR32">
        <v>0</v>
      </c>
      <c r="AS32">
        <v>0</v>
      </c>
      <c r="AT32">
        <f>AH32+AI32+AK32</f>
      </c>
      <c r="AU32">
        <f>AF32-AV32</f>
      </c>
      <c r="AV32">
        <f>BE32+BL32+BY32+BV32</f>
      </c>
      <c r="AW32">
        <f>IF(V32=Z32,AU32*AH32,0)</f>
      </c>
      <c r="AX32">
        <f>IF(V32=Z32,AU32*AI32,0)</f>
      </c>
      <c r="AY32">
        <f>IF(V32&lt;&gt;Z32,AU32*AK32,0)</f>
      </c>
      <c r="AZ32">
        <f>IF(V32=Z32,AV32*AT32,0)</f>
      </c>
      <c r="BA32">
        <f>IF(V32=Z32,AV32*AT32,0)</f>
      </c>
      <c r="BB32">
        <f>IF(V32&lt;&gt;Z32,AV32*AT32,0)</f>
      </c>
      <c r="BC32">
        <f>AU32+AV32+AW32+AX32+AY32+AZ32+BA32+BB32-CB32-CD32-CH32</f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0.0025</v>
      </c>
      <c r="CB32">
        <v>0.56</v>
      </c>
      <c r="CC32">
        <v>0.0025</v>
      </c>
      <c r="CD32">
        <v>0.56</v>
      </c>
      <c r="CE32">
        <v>0</v>
      </c>
      <c r="CF32">
        <v>0</v>
      </c>
      <c r="CG32">
        <v>0</v>
      </c>
      <c r="CH32">
        <v>0</v>
      </c>
      <c r="CI32" t="s">
        <v>390</v>
      </c>
      <c r="CJ32" t="s">
        <v>120</v>
      </c>
      <c r="CK32" t="s">
        <v>121</v>
      </c>
      <c r="CL32" t="s">
        <v>152</v>
      </c>
      <c r="CM32" t="s">
        <v>153</v>
      </c>
      <c r="CN32" t="s">
        <v>114</v>
      </c>
      <c r="CO32">
        <v>400102</v>
      </c>
      <c r="CP32" t="s">
        <v>391</v>
      </c>
      <c r="CR32" t="s">
        <v>392</v>
      </c>
      <c r="CU32" t="s">
        <v>393</v>
      </c>
      <c r="CV32" t="s">
        <v>127</v>
      </c>
      <c r="CW32">
        <v>46034.33553240741</v>
      </c>
    </row>
    <row r="33" spans="1:102" x14ac:dyDescent="0.25">
      <c r="A33" t="s">
        <v>394</v>
      </c>
      <c r="B33" t="s">
        <v>395</v>
      </c>
      <c r="C33">
        <v>46035.59400462963</v>
      </c>
      <c r="D33" t="s">
        <v>104</v>
      </c>
      <c r="E33" t="s">
        <v>396</v>
      </c>
      <c r="F33" t="s">
        <v>397</v>
      </c>
      <c r="G33">
        <v>46035.701377314814</v>
      </c>
      <c r="H33">
        <v>46035.453055555554</v>
      </c>
      <c r="I33">
        <v>547889602500</v>
      </c>
      <c r="J33">
        <v>1</v>
      </c>
      <c r="K33" t="s">
        <v>107</v>
      </c>
      <c r="L33" t="s">
        <v>108</v>
      </c>
      <c r="M33">
        <v>34059090</v>
      </c>
      <c r="N33" t="s">
        <v>109</v>
      </c>
      <c r="O33" t="s">
        <v>110</v>
      </c>
      <c r="P33" t="s">
        <v>111</v>
      </c>
      <c r="Q33" t="s">
        <v>112</v>
      </c>
      <c r="R33" t="s">
        <v>113</v>
      </c>
      <c r="S33" t="s">
        <v>114</v>
      </c>
      <c r="T33">
        <v>110061</v>
      </c>
      <c r="U33" t="s">
        <v>398</v>
      </c>
      <c r="V33" t="s">
        <v>196</v>
      </c>
      <c r="W33" t="s">
        <v>114</v>
      </c>
      <c r="X33">
        <v>562107</v>
      </c>
      <c r="Y33" t="s">
        <v>399</v>
      </c>
      <c r="Z33" t="s">
        <v>196</v>
      </c>
      <c r="AA33" t="s">
        <v>172</v>
      </c>
      <c r="AB33" t="s">
        <v>173</v>
      </c>
      <c r="AC33" t="s">
        <v>114</v>
      </c>
      <c r="AD33">
        <v>570016</v>
      </c>
      <c r="AE33">
        <v>266.31</v>
      </c>
      <c r="AF33">
        <v>225.69</v>
      </c>
      <c r="AG33">
        <v>40.62</v>
      </c>
      <c r="AH33">
        <v>0.09</v>
      </c>
      <c r="AI33">
        <v>0.09</v>
      </c>
      <c r="AJ33">
        <v>0</v>
      </c>
      <c r="AK33">
        <v>0</v>
      </c>
      <c r="AL33">
        <v>0</v>
      </c>
      <c r="AM33">
        <v>266.31</v>
      </c>
      <c r="AN33">
        <v>225.69</v>
      </c>
      <c r="AO33">
        <v>20.31</v>
      </c>
      <c r="AP33">
        <v>20.31</v>
      </c>
      <c r="AQ33">
        <v>0</v>
      </c>
      <c r="AR33">
        <v>0</v>
      </c>
      <c r="AS33">
        <v>0</v>
      </c>
      <c r="AT33">
        <f>AH33+AI33+AK33</f>
      </c>
      <c r="AU33">
        <f>AF33-AV33</f>
      </c>
      <c r="AV33">
        <f>BE33+BL33+BY33+BV33</f>
      </c>
      <c r="AW33">
        <f>IF(V33=Z33,AU33*AH33,0)</f>
      </c>
      <c r="AX33">
        <f>IF(V33=Z33,AU33*AI33,0)</f>
      </c>
      <c r="AY33">
        <f>IF(V33&lt;&gt;Z33,AU33*AK33,0)</f>
      </c>
      <c r="AZ33">
        <f>IF(V33=Z33,AV33*AT33,0)</f>
      </c>
      <c r="BA33">
        <f>IF(V33=Z33,AV33*AT33,0)</f>
      </c>
      <c r="BB33">
        <f>IF(V33&lt;&gt;Z33,AV33*AT33,0)</f>
      </c>
      <c r="BC33">
        <f>AU33+AV33+AW33+AX33+AY33+AZ33+BA33+BB33-CB33-CD33-CH33</f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0.0025</v>
      </c>
      <c r="CB33">
        <v>0.56</v>
      </c>
      <c r="CC33">
        <v>0.0025</v>
      </c>
      <c r="CD33">
        <v>0.56</v>
      </c>
      <c r="CE33">
        <v>0</v>
      </c>
      <c r="CF33">
        <v>0</v>
      </c>
      <c r="CG33">
        <v>0</v>
      </c>
      <c r="CH33">
        <v>0</v>
      </c>
      <c r="CI33" t="s">
        <v>400</v>
      </c>
      <c r="CJ33" t="s">
        <v>120</v>
      </c>
      <c r="CK33" t="s">
        <v>121</v>
      </c>
      <c r="CL33" t="s">
        <v>401</v>
      </c>
      <c r="CM33" t="s">
        <v>196</v>
      </c>
      <c r="CN33" t="s">
        <v>114</v>
      </c>
      <c r="CO33">
        <v>581402</v>
      </c>
      <c r="CP33" t="s">
        <v>402</v>
      </c>
      <c r="CR33" t="s">
        <v>403</v>
      </c>
      <c r="CU33" t="s">
        <v>404</v>
      </c>
      <c r="CV33" t="s">
        <v>127</v>
      </c>
      <c r="CW33">
        <v>46035.364699074074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FormatPr defaultRowHeight="15" outlineLevelRow="0" outlineLevelCol="0" x14ac:dyDescent="55"/>
  <sheetData>
    <row r="1" spans="1:18" x14ac:dyDescent="0.25">
      <c r="A1" t="s">
        <v>0</v>
      </c>
      <c r="B1" t="s">
        <v>27</v>
      </c>
      <c r="C1" t="s">
        <v>26</v>
      </c>
      <c r="D1" t="s">
        <v>14</v>
      </c>
      <c r="E1" t="s">
        <v>9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79</v>
      </c>
      <c r="P1" t="s">
        <v>81</v>
      </c>
      <c r="Q1" t="s">
        <v>85</v>
      </c>
      <c r="R1" t="s">
        <v>54</v>
      </c>
    </row>
    <row r="2" spans="1:18" x14ac:dyDescent="0.25">
      <c r="A2" t="s">
        <v>102</v>
      </c>
      <c r="B2" t="s">
        <v>118</v>
      </c>
      <c r="C2" t="s">
        <v>117</v>
      </c>
      <c r="D2" t="s">
        <v>110</v>
      </c>
      <c r="E2">
        <v>1</v>
      </c>
      <c r="F2">
        <v>0.18</v>
      </c>
      <c r="G2">
        <v>225.69</v>
      </c>
      <c r="H2">
        <v>0</v>
      </c>
      <c r="I2">
        <v>0</v>
      </c>
      <c r="J2">
        <v>0</v>
      </c>
      <c r="K2">
        <v>40.624199999999995</v>
      </c>
      <c r="L2">
        <v>0</v>
      </c>
      <c r="M2">
        <v>0</v>
      </c>
      <c r="N2">
        <v>0</v>
      </c>
      <c r="O2">
        <v>0</v>
      </c>
      <c r="P2">
        <v>0</v>
      </c>
      <c r="Q2">
        <v>1.13</v>
      </c>
      <c r="R2">
        <v>265.1842</v>
      </c>
    </row>
    <row r="3" spans="1:18" x14ac:dyDescent="0.25">
      <c r="A3" t="s">
        <v>128</v>
      </c>
      <c r="B3" t="s">
        <v>118</v>
      </c>
      <c r="C3" t="s">
        <v>117</v>
      </c>
      <c r="D3" t="s">
        <v>135</v>
      </c>
      <c r="E3">
        <v>1</v>
      </c>
      <c r="F3">
        <v>0.18</v>
      </c>
      <c r="G3">
        <v>582.25</v>
      </c>
      <c r="H3">
        <v>0</v>
      </c>
      <c r="I3">
        <v>0</v>
      </c>
      <c r="J3">
        <v>0</v>
      </c>
      <c r="K3">
        <v>104.80499999999999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2.91</v>
      </c>
      <c r="R3">
        <v>684.145</v>
      </c>
    </row>
    <row r="4" spans="1:18" x14ac:dyDescent="0.25">
      <c r="A4" t="s">
        <v>128</v>
      </c>
      <c r="B4" t="s">
        <v>118</v>
      </c>
      <c r="C4" t="s">
        <v>117</v>
      </c>
      <c r="D4" t="s">
        <v>149</v>
      </c>
      <c r="E4">
        <v>1</v>
      </c>
      <c r="F4">
        <v>0.18</v>
      </c>
      <c r="G4">
        <v>177.86</v>
      </c>
      <c r="H4">
        <v>0</v>
      </c>
      <c r="I4">
        <v>0</v>
      </c>
      <c r="J4">
        <v>0</v>
      </c>
      <c r="K4">
        <v>32.0148</v>
      </c>
      <c r="L4">
        <v>0</v>
      </c>
      <c r="M4">
        <v>0</v>
      </c>
      <c r="N4">
        <v>0</v>
      </c>
      <c r="O4">
        <v>0</v>
      </c>
      <c r="P4">
        <v>0</v>
      </c>
      <c r="Q4">
        <v>0.89</v>
      </c>
      <c r="R4">
        <v>208.98480000000004</v>
      </c>
    </row>
    <row r="5" spans="1:18" x14ac:dyDescent="0.25">
      <c r="A5" t="s">
        <v>128</v>
      </c>
      <c r="B5" t="s">
        <v>118</v>
      </c>
      <c r="C5" t="s">
        <v>117</v>
      </c>
      <c r="D5" t="s">
        <v>149</v>
      </c>
      <c r="E5">
        <v>1</v>
      </c>
      <c r="F5">
        <v>0.18</v>
      </c>
      <c r="G5">
        <v>177.86</v>
      </c>
      <c r="H5">
        <v>0</v>
      </c>
      <c r="I5">
        <v>0</v>
      </c>
      <c r="J5">
        <v>0</v>
      </c>
      <c r="K5">
        <v>32.0148</v>
      </c>
      <c r="L5">
        <v>0</v>
      </c>
      <c r="M5">
        <v>0</v>
      </c>
      <c r="N5">
        <v>0</v>
      </c>
      <c r="O5">
        <v>0</v>
      </c>
      <c r="P5">
        <v>0</v>
      </c>
      <c r="Q5">
        <v>0.89</v>
      </c>
      <c r="R5">
        <v>208.98480000000004</v>
      </c>
    </row>
    <row r="6" spans="1:18" x14ac:dyDescent="0.25">
      <c r="A6" t="s">
        <v>128</v>
      </c>
      <c r="B6" t="s">
        <v>173</v>
      </c>
      <c r="C6" t="s">
        <v>172</v>
      </c>
      <c r="D6" t="s">
        <v>171</v>
      </c>
      <c r="E6">
        <v>1</v>
      </c>
      <c r="F6">
        <v>0.18</v>
      </c>
      <c r="G6">
        <v>225.69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1.13</v>
      </c>
      <c r="R6">
        <v>224.56</v>
      </c>
    </row>
    <row r="7" spans="1:18" x14ac:dyDescent="0.25">
      <c r="A7" t="s">
        <v>128</v>
      </c>
      <c r="B7" t="s">
        <v>118</v>
      </c>
      <c r="C7" t="s">
        <v>117</v>
      </c>
      <c r="D7" t="s">
        <v>182</v>
      </c>
      <c r="E7">
        <v>1</v>
      </c>
      <c r="F7">
        <v>0.18</v>
      </c>
      <c r="G7">
        <v>180.38</v>
      </c>
      <c r="H7">
        <v>0</v>
      </c>
      <c r="I7">
        <v>0</v>
      </c>
      <c r="J7">
        <v>0</v>
      </c>
      <c r="K7">
        <v>32.468399999999995</v>
      </c>
      <c r="L7">
        <v>0</v>
      </c>
      <c r="M7">
        <v>0</v>
      </c>
      <c r="N7">
        <v>0</v>
      </c>
      <c r="O7">
        <v>0</v>
      </c>
      <c r="P7">
        <v>0</v>
      </c>
      <c r="Q7">
        <v>0.9</v>
      </c>
      <c r="R7">
        <v>211.9484</v>
      </c>
    </row>
    <row r="8" spans="1:18" x14ac:dyDescent="0.25">
      <c r="A8" t="s">
        <v>128</v>
      </c>
      <c r="B8" t="s">
        <v>118</v>
      </c>
      <c r="C8" t="s">
        <v>117</v>
      </c>
      <c r="D8" t="s">
        <v>194</v>
      </c>
      <c r="E8">
        <v>12</v>
      </c>
      <c r="F8">
        <v>0.18</v>
      </c>
      <c r="G8">
        <v>2788.68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6.96</v>
      </c>
      <c r="P8">
        <v>6.96</v>
      </c>
      <c r="Q8">
        <v>0</v>
      </c>
      <c r="R8">
        <v>2774.7599999999998</v>
      </c>
    </row>
    <row r="9" spans="1:18" x14ac:dyDescent="0.25">
      <c r="A9" t="s">
        <v>128</v>
      </c>
      <c r="B9" t="s">
        <v>118</v>
      </c>
      <c r="C9" t="s">
        <v>117</v>
      </c>
      <c r="D9" t="s">
        <v>203</v>
      </c>
      <c r="E9">
        <v>12</v>
      </c>
      <c r="F9">
        <v>0.18</v>
      </c>
      <c r="G9">
        <v>3120.96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7.8</v>
      </c>
      <c r="P9">
        <v>7.8</v>
      </c>
      <c r="Q9">
        <v>0</v>
      </c>
      <c r="R9">
        <v>3105.36</v>
      </c>
    </row>
    <row r="10" spans="1:18" x14ac:dyDescent="0.25">
      <c r="A10" t="s">
        <v>128</v>
      </c>
      <c r="B10" t="s">
        <v>118</v>
      </c>
      <c r="C10" t="s">
        <v>117</v>
      </c>
      <c r="D10" t="s">
        <v>182</v>
      </c>
      <c r="E10">
        <v>1</v>
      </c>
      <c r="F10">
        <v>0.18</v>
      </c>
      <c r="G10">
        <v>180.38</v>
      </c>
      <c r="H10">
        <v>0</v>
      </c>
      <c r="I10">
        <v>0</v>
      </c>
      <c r="J10">
        <v>0</v>
      </c>
      <c r="K10">
        <v>32.468399999999995</v>
      </c>
      <c r="L10">
        <v>0</v>
      </c>
      <c r="M10">
        <v>0</v>
      </c>
      <c r="N10">
        <v>0</v>
      </c>
      <c r="O10">
        <v>0</v>
      </c>
      <c r="P10">
        <v>0</v>
      </c>
      <c r="Q10">
        <v>0.9</v>
      </c>
      <c r="R10">
        <v>211.9484</v>
      </c>
    </row>
    <row r="11" spans="1:18" x14ac:dyDescent="0.25">
      <c r="A11" t="s">
        <v>128</v>
      </c>
      <c r="B11" t="s">
        <v>118</v>
      </c>
      <c r="C11" t="s">
        <v>117</v>
      </c>
      <c r="D11" t="s">
        <v>182</v>
      </c>
      <c r="E11">
        <v>1</v>
      </c>
      <c r="F11">
        <v>0.18</v>
      </c>
      <c r="G11">
        <v>180.38</v>
      </c>
      <c r="H11">
        <v>0</v>
      </c>
      <c r="I11">
        <v>0</v>
      </c>
      <c r="J11">
        <v>0</v>
      </c>
      <c r="K11">
        <v>32.468399999999995</v>
      </c>
      <c r="L11">
        <v>0</v>
      </c>
      <c r="M11">
        <v>0</v>
      </c>
      <c r="N11">
        <v>0</v>
      </c>
      <c r="O11">
        <v>0</v>
      </c>
      <c r="P11">
        <v>0</v>
      </c>
      <c r="Q11">
        <v>0.9</v>
      </c>
      <c r="R11">
        <v>211.9484</v>
      </c>
    </row>
    <row r="12" spans="1:18" x14ac:dyDescent="0.25">
      <c r="A12" t="s">
        <v>128</v>
      </c>
      <c r="B12" t="s">
        <v>118</v>
      </c>
      <c r="C12" t="s">
        <v>117</v>
      </c>
      <c r="D12" t="s">
        <v>225</v>
      </c>
      <c r="E12">
        <v>1</v>
      </c>
      <c r="F12">
        <v>0.18</v>
      </c>
      <c r="G12">
        <v>334.75</v>
      </c>
      <c r="H12">
        <v>0</v>
      </c>
      <c r="I12">
        <v>0</v>
      </c>
      <c r="J12">
        <v>0</v>
      </c>
      <c r="K12">
        <v>60.254999999999995</v>
      </c>
      <c r="L12">
        <v>0</v>
      </c>
      <c r="M12">
        <v>0</v>
      </c>
      <c r="N12">
        <v>0</v>
      </c>
      <c r="O12">
        <v>0</v>
      </c>
      <c r="P12">
        <v>0</v>
      </c>
      <c r="Q12">
        <v>1.67</v>
      </c>
      <c r="R12">
        <v>393.335</v>
      </c>
    </row>
    <row r="13" spans="1:18" x14ac:dyDescent="0.25">
      <c r="A13" t="s">
        <v>128</v>
      </c>
      <c r="B13" t="s">
        <v>118</v>
      </c>
      <c r="C13" t="s">
        <v>117</v>
      </c>
      <c r="D13" t="s">
        <v>239</v>
      </c>
      <c r="E13">
        <v>2</v>
      </c>
      <c r="F13">
        <v>0.18</v>
      </c>
      <c r="G13">
        <v>501.72</v>
      </c>
      <c r="H13">
        <v>0</v>
      </c>
      <c r="I13">
        <v>0</v>
      </c>
      <c r="J13">
        <v>0</v>
      </c>
      <c r="K13">
        <v>90.3096</v>
      </c>
      <c r="L13">
        <v>0</v>
      </c>
      <c r="M13">
        <v>0</v>
      </c>
      <c r="N13">
        <v>0</v>
      </c>
      <c r="O13">
        <v>0</v>
      </c>
      <c r="P13">
        <v>0</v>
      </c>
      <c r="Q13">
        <v>2.5</v>
      </c>
      <c r="R13">
        <v>589.5296000000001</v>
      </c>
    </row>
    <row r="14" spans="1:18" x14ac:dyDescent="0.25">
      <c r="A14" t="s">
        <v>128</v>
      </c>
      <c r="B14" t="s">
        <v>118</v>
      </c>
      <c r="C14" t="s">
        <v>117</v>
      </c>
      <c r="D14" t="s">
        <v>250</v>
      </c>
      <c r="E14">
        <v>1</v>
      </c>
      <c r="F14">
        <v>0.18</v>
      </c>
      <c r="G14">
        <v>119.14</v>
      </c>
      <c r="H14">
        <v>0</v>
      </c>
      <c r="I14">
        <v>0</v>
      </c>
      <c r="J14">
        <v>0</v>
      </c>
      <c r="K14">
        <v>21.4452</v>
      </c>
      <c r="L14">
        <v>0</v>
      </c>
      <c r="M14">
        <v>0</v>
      </c>
      <c r="N14">
        <v>0</v>
      </c>
      <c r="O14">
        <v>0</v>
      </c>
      <c r="P14">
        <v>0</v>
      </c>
      <c r="Q14">
        <v>0.6</v>
      </c>
      <c r="R14">
        <v>139.9852</v>
      </c>
    </row>
    <row r="15" spans="1:18" x14ac:dyDescent="0.25">
      <c r="A15" t="s">
        <v>128</v>
      </c>
      <c r="B15" t="s">
        <v>118</v>
      </c>
      <c r="C15" t="s">
        <v>117</v>
      </c>
      <c r="D15" t="s">
        <v>261</v>
      </c>
      <c r="E15">
        <v>1</v>
      </c>
      <c r="F15">
        <v>0.18</v>
      </c>
      <c r="G15">
        <v>208.91</v>
      </c>
      <c r="H15">
        <v>0</v>
      </c>
      <c r="I15">
        <v>0</v>
      </c>
      <c r="J15">
        <v>0</v>
      </c>
      <c r="K15">
        <v>37.6038</v>
      </c>
      <c r="L15">
        <v>0</v>
      </c>
      <c r="M15">
        <v>0</v>
      </c>
      <c r="N15">
        <v>0</v>
      </c>
      <c r="O15">
        <v>0</v>
      </c>
      <c r="P15">
        <v>0</v>
      </c>
      <c r="Q15">
        <v>1.04</v>
      </c>
      <c r="R15">
        <v>245.4738</v>
      </c>
    </row>
    <row r="16" spans="1:18" x14ac:dyDescent="0.25">
      <c r="A16" t="s">
        <v>128</v>
      </c>
      <c r="B16" t="s">
        <v>118</v>
      </c>
      <c r="C16" t="s">
        <v>117</v>
      </c>
      <c r="D16" t="s">
        <v>265</v>
      </c>
      <c r="E16">
        <v>1</v>
      </c>
      <c r="F16">
        <v>0.18</v>
      </c>
      <c r="G16">
        <v>376.7</v>
      </c>
      <c r="H16">
        <v>0</v>
      </c>
      <c r="I16">
        <v>0</v>
      </c>
      <c r="J16">
        <v>0</v>
      </c>
      <c r="K16">
        <v>67.806</v>
      </c>
      <c r="L16">
        <v>0</v>
      </c>
      <c r="M16">
        <v>0</v>
      </c>
      <c r="N16">
        <v>0</v>
      </c>
      <c r="O16">
        <v>0</v>
      </c>
      <c r="P16">
        <v>0</v>
      </c>
      <c r="Q16">
        <v>1.88</v>
      </c>
      <c r="R16">
        <v>442.626</v>
      </c>
    </row>
    <row r="17" spans="1:18" x14ac:dyDescent="0.25">
      <c r="A17" t="s">
        <v>128</v>
      </c>
      <c r="B17" t="s">
        <v>118</v>
      </c>
      <c r="C17" t="s">
        <v>117</v>
      </c>
      <c r="D17" t="s">
        <v>182</v>
      </c>
      <c r="E17">
        <v>1</v>
      </c>
      <c r="F17">
        <v>0.18</v>
      </c>
      <c r="G17">
        <v>180.38</v>
      </c>
      <c r="H17">
        <v>0</v>
      </c>
      <c r="I17">
        <v>0</v>
      </c>
      <c r="J17">
        <v>0</v>
      </c>
      <c r="K17">
        <v>32.468399999999995</v>
      </c>
      <c r="L17">
        <v>0</v>
      </c>
      <c r="M17">
        <v>0</v>
      </c>
      <c r="N17">
        <v>0</v>
      </c>
      <c r="O17">
        <v>0</v>
      </c>
      <c r="P17">
        <v>0</v>
      </c>
      <c r="Q17">
        <v>0.9</v>
      </c>
      <c r="R17">
        <v>211.9484</v>
      </c>
    </row>
    <row r="18" spans="1:18" x14ac:dyDescent="0.25">
      <c r="A18" t="s">
        <v>128</v>
      </c>
      <c r="B18" t="s">
        <v>118</v>
      </c>
      <c r="C18" t="s">
        <v>117</v>
      </c>
      <c r="D18" t="s">
        <v>277</v>
      </c>
      <c r="E18">
        <v>1</v>
      </c>
      <c r="F18">
        <v>0.18</v>
      </c>
      <c r="G18">
        <v>888.48</v>
      </c>
      <c r="H18">
        <v>0</v>
      </c>
      <c r="I18">
        <v>0</v>
      </c>
      <c r="J18">
        <v>0</v>
      </c>
      <c r="K18">
        <v>159.9264</v>
      </c>
      <c r="L18">
        <v>0</v>
      </c>
      <c r="M18">
        <v>0</v>
      </c>
      <c r="N18">
        <v>0</v>
      </c>
      <c r="O18">
        <v>0</v>
      </c>
      <c r="P18">
        <v>0</v>
      </c>
      <c r="Q18">
        <v>4.44</v>
      </c>
      <c r="R18">
        <v>1043.9664</v>
      </c>
    </row>
    <row r="19" spans="1:18" x14ac:dyDescent="0.25">
      <c r="A19" t="s">
        <v>128</v>
      </c>
      <c r="B19" t="s">
        <v>118</v>
      </c>
      <c r="C19" t="s">
        <v>117</v>
      </c>
      <c r="D19" t="s">
        <v>287</v>
      </c>
      <c r="E19">
        <v>1</v>
      </c>
      <c r="F19">
        <v>0.18</v>
      </c>
      <c r="G19">
        <v>754.25</v>
      </c>
      <c r="H19">
        <v>0</v>
      </c>
      <c r="I19">
        <v>0</v>
      </c>
      <c r="J19">
        <v>0</v>
      </c>
      <c r="K19">
        <v>135.765</v>
      </c>
      <c r="L19">
        <v>0</v>
      </c>
      <c r="M19">
        <v>0</v>
      </c>
      <c r="N19">
        <v>0</v>
      </c>
      <c r="O19">
        <v>0</v>
      </c>
      <c r="P19">
        <v>0</v>
      </c>
      <c r="Q19">
        <v>3.77</v>
      </c>
      <c r="R19">
        <v>886.245</v>
      </c>
    </row>
    <row r="20" spans="1:18" x14ac:dyDescent="0.25">
      <c r="A20" t="s">
        <v>128</v>
      </c>
      <c r="B20" t="s">
        <v>118</v>
      </c>
      <c r="C20" t="s">
        <v>117</v>
      </c>
      <c r="D20" t="s">
        <v>298</v>
      </c>
      <c r="E20">
        <v>1</v>
      </c>
      <c r="F20">
        <v>0.18</v>
      </c>
      <c r="G20">
        <v>192.13</v>
      </c>
      <c r="H20">
        <v>0</v>
      </c>
      <c r="I20">
        <v>0</v>
      </c>
      <c r="J20">
        <v>0</v>
      </c>
      <c r="K20">
        <v>34.5834</v>
      </c>
      <c r="L20">
        <v>0</v>
      </c>
      <c r="M20">
        <v>0</v>
      </c>
      <c r="N20">
        <v>0</v>
      </c>
      <c r="O20">
        <v>0</v>
      </c>
      <c r="P20">
        <v>0</v>
      </c>
      <c r="Q20">
        <v>0.96</v>
      </c>
      <c r="R20">
        <v>225.75339999999997</v>
      </c>
    </row>
    <row r="21" spans="1:18" x14ac:dyDescent="0.25">
      <c r="A21" t="s">
        <v>128</v>
      </c>
      <c r="B21" t="s">
        <v>118</v>
      </c>
      <c r="C21" t="s">
        <v>117</v>
      </c>
      <c r="D21" t="s">
        <v>149</v>
      </c>
      <c r="E21">
        <v>1</v>
      </c>
      <c r="F21">
        <v>0.18</v>
      </c>
      <c r="G21">
        <v>177.86</v>
      </c>
      <c r="H21">
        <v>0</v>
      </c>
      <c r="I21">
        <v>0</v>
      </c>
      <c r="J21">
        <v>0</v>
      </c>
      <c r="K21">
        <v>32.0148</v>
      </c>
      <c r="L21">
        <v>0</v>
      </c>
      <c r="M21">
        <v>0</v>
      </c>
      <c r="N21">
        <v>0</v>
      </c>
      <c r="O21">
        <v>0</v>
      </c>
      <c r="P21">
        <v>0</v>
      </c>
      <c r="Q21">
        <v>0.89</v>
      </c>
      <c r="R21">
        <v>208.98480000000004</v>
      </c>
    </row>
    <row r="22" spans="1:18" x14ac:dyDescent="0.25">
      <c r="A22" t="s">
        <v>128</v>
      </c>
      <c r="B22" t="s">
        <v>118</v>
      </c>
      <c r="C22" t="s">
        <v>117</v>
      </c>
      <c r="D22" t="s">
        <v>317</v>
      </c>
      <c r="E22">
        <v>1</v>
      </c>
      <c r="F22">
        <v>0.18</v>
      </c>
      <c r="G22">
        <v>838.14</v>
      </c>
      <c r="H22">
        <v>0</v>
      </c>
      <c r="I22">
        <v>0</v>
      </c>
      <c r="J22">
        <v>0</v>
      </c>
      <c r="K22">
        <v>150.8652</v>
      </c>
      <c r="L22">
        <v>0</v>
      </c>
      <c r="M22">
        <v>0</v>
      </c>
      <c r="N22">
        <v>0</v>
      </c>
      <c r="O22">
        <v>0</v>
      </c>
      <c r="P22">
        <v>0</v>
      </c>
      <c r="Q22">
        <v>4.19</v>
      </c>
      <c r="R22">
        <v>984.8151999999999</v>
      </c>
    </row>
    <row r="23" spans="1:18" x14ac:dyDescent="0.25">
      <c r="A23" t="s">
        <v>128</v>
      </c>
      <c r="B23" t="s">
        <v>118</v>
      </c>
      <c r="C23" t="s">
        <v>117</v>
      </c>
      <c r="D23" t="s">
        <v>329</v>
      </c>
      <c r="E23">
        <v>1</v>
      </c>
      <c r="F23">
        <v>0.18</v>
      </c>
      <c r="G23">
        <v>334.75</v>
      </c>
      <c r="H23">
        <v>0</v>
      </c>
      <c r="I23">
        <v>0</v>
      </c>
      <c r="J23">
        <v>0</v>
      </c>
      <c r="K23">
        <v>60.254999999999995</v>
      </c>
      <c r="L23">
        <v>0</v>
      </c>
      <c r="M23">
        <v>0</v>
      </c>
      <c r="N23">
        <v>0</v>
      </c>
      <c r="O23">
        <v>0</v>
      </c>
      <c r="P23">
        <v>0</v>
      </c>
      <c r="Q23">
        <v>1.67</v>
      </c>
      <c r="R23">
        <v>393.335</v>
      </c>
    </row>
    <row r="24" spans="1:18" x14ac:dyDescent="0.25">
      <c r="A24" t="s">
        <v>128</v>
      </c>
      <c r="B24" t="s">
        <v>118</v>
      </c>
      <c r="C24" t="s">
        <v>117</v>
      </c>
      <c r="D24" t="s">
        <v>317</v>
      </c>
      <c r="E24">
        <v>2</v>
      </c>
      <c r="F24">
        <v>0.18</v>
      </c>
      <c r="G24">
        <v>1676.28</v>
      </c>
      <c r="H24">
        <v>0</v>
      </c>
      <c r="I24">
        <v>0</v>
      </c>
      <c r="J24">
        <v>0</v>
      </c>
      <c r="K24">
        <v>301.7304</v>
      </c>
      <c r="L24">
        <v>0</v>
      </c>
      <c r="M24">
        <v>0</v>
      </c>
      <c r="N24">
        <v>0</v>
      </c>
      <c r="O24">
        <v>0</v>
      </c>
      <c r="P24">
        <v>0</v>
      </c>
      <c r="Q24">
        <v>8.38</v>
      </c>
      <c r="R24">
        <v>1969.6303999999998</v>
      </c>
    </row>
    <row r="25" spans="1:18" x14ac:dyDescent="0.25">
      <c r="A25" t="s">
        <v>128</v>
      </c>
      <c r="B25" t="s">
        <v>118</v>
      </c>
      <c r="C25" t="s">
        <v>117</v>
      </c>
      <c r="D25" t="s">
        <v>345</v>
      </c>
      <c r="E25">
        <v>1</v>
      </c>
      <c r="F25">
        <v>0.18</v>
      </c>
      <c r="G25">
        <v>931.36</v>
      </c>
      <c r="H25">
        <v>0</v>
      </c>
      <c r="I25">
        <v>0</v>
      </c>
      <c r="J25">
        <v>0</v>
      </c>
      <c r="K25">
        <v>167.6448</v>
      </c>
      <c r="L25">
        <v>0</v>
      </c>
      <c r="M25">
        <v>0</v>
      </c>
      <c r="N25">
        <v>0</v>
      </c>
      <c r="O25">
        <v>0</v>
      </c>
      <c r="P25">
        <v>0</v>
      </c>
      <c r="Q25">
        <v>4.66</v>
      </c>
      <c r="R25">
        <v>1094.3447999999999</v>
      </c>
    </row>
    <row r="26" spans="1:18" x14ac:dyDescent="0.25">
      <c r="A26" t="s">
        <v>128</v>
      </c>
      <c r="B26" t="s">
        <v>118</v>
      </c>
      <c r="C26" t="s">
        <v>117</v>
      </c>
      <c r="D26" t="s">
        <v>277</v>
      </c>
      <c r="E26">
        <v>1</v>
      </c>
      <c r="F26">
        <v>0.18</v>
      </c>
      <c r="G26">
        <v>888.48</v>
      </c>
      <c r="H26">
        <v>0</v>
      </c>
      <c r="I26">
        <v>0</v>
      </c>
      <c r="J26">
        <v>0</v>
      </c>
      <c r="K26">
        <v>159.9264</v>
      </c>
      <c r="L26">
        <v>0</v>
      </c>
      <c r="M26">
        <v>0</v>
      </c>
      <c r="N26">
        <v>0</v>
      </c>
      <c r="O26">
        <v>0</v>
      </c>
      <c r="P26">
        <v>0</v>
      </c>
      <c r="Q26">
        <v>4.44</v>
      </c>
      <c r="R26">
        <v>1043.9664</v>
      </c>
    </row>
    <row r="27" spans="1:18" x14ac:dyDescent="0.25">
      <c r="A27" t="s">
        <v>128</v>
      </c>
      <c r="B27" t="s">
        <v>118</v>
      </c>
      <c r="C27" t="s">
        <v>117</v>
      </c>
      <c r="D27" t="s">
        <v>351</v>
      </c>
      <c r="E27">
        <v>1</v>
      </c>
      <c r="F27">
        <v>0.18</v>
      </c>
      <c r="G27">
        <v>418.65</v>
      </c>
      <c r="H27">
        <v>0</v>
      </c>
      <c r="I27">
        <v>0</v>
      </c>
      <c r="J27">
        <v>0</v>
      </c>
      <c r="K27">
        <v>75.357</v>
      </c>
      <c r="L27">
        <v>0</v>
      </c>
      <c r="M27">
        <v>0</v>
      </c>
      <c r="N27">
        <v>0</v>
      </c>
      <c r="O27">
        <v>0</v>
      </c>
      <c r="P27">
        <v>0</v>
      </c>
      <c r="Q27">
        <v>2.09</v>
      </c>
      <c r="R27">
        <v>491.917</v>
      </c>
    </row>
    <row r="28" spans="1:18" x14ac:dyDescent="0.25">
      <c r="A28" t="s">
        <v>128</v>
      </c>
      <c r="B28" t="s">
        <v>118</v>
      </c>
      <c r="C28" t="s">
        <v>117</v>
      </c>
      <c r="D28" t="s">
        <v>355</v>
      </c>
      <c r="E28">
        <v>1</v>
      </c>
      <c r="F28">
        <v>0.18</v>
      </c>
      <c r="G28">
        <v>897.46</v>
      </c>
      <c r="H28">
        <v>0</v>
      </c>
      <c r="I28">
        <v>0</v>
      </c>
      <c r="J28">
        <v>0</v>
      </c>
      <c r="K28">
        <v>161.5428</v>
      </c>
      <c r="L28">
        <v>0</v>
      </c>
      <c r="M28">
        <v>0</v>
      </c>
      <c r="N28">
        <v>0</v>
      </c>
      <c r="O28">
        <v>0</v>
      </c>
      <c r="P28">
        <v>0</v>
      </c>
      <c r="Q28">
        <v>4.49</v>
      </c>
      <c r="R28">
        <v>1054.5128</v>
      </c>
    </row>
    <row r="29" spans="1:18" x14ac:dyDescent="0.25">
      <c r="A29" t="s">
        <v>128</v>
      </c>
      <c r="B29" t="s">
        <v>118</v>
      </c>
      <c r="C29" t="s">
        <v>117</v>
      </c>
      <c r="D29" t="s">
        <v>362</v>
      </c>
      <c r="E29">
        <v>1</v>
      </c>
      <c r="F29">
        <v>0.18</v>
      </c>
      <c r="G29">
        <v>192.13</v>
      </c>
      <c r="H29">
        <v>0</v>
      </c>
      <c r="I29">
        <v>0</v>
      </c>
      <c r="J29">
        <v>0</v>
      </c>
      <c r="K29">
        <v>34.5834</v>
      </c>
      <c r="L29">
        <v>0</v>
      </c>
      <c r="M29">
        <v>0</v>
      </c>
      <c r="N29">
        <v>0</v>
      </c>
      <c r="O29">
        <v>0</v>
      </c>
      <c r="P29">
        <v>0</v>
      </c>
      <c r="Q29">
        <v>0.96</v>
      </c>
      <c r="R29">
        <v>225.75339999999997</v>
      </c>
    </row>
    <row r="30" spans="1:18" x14ac:dyDescent="0.25">
      <c r="A30" t="s">
        <v>128</v>
      </c>
      <c r="B30" t="s">
        <v>118</v>
      </c>
      <c r="C30" t="s">
        <v>117</v>
      </c>
      <c r="D30" t="s">
        <v>194</v>
      </c>
      <c r="E30">
        <v>10</v>
      </c>
      <c r="F30">
        <v>0.18</v>
      </c>
      <c r="G30">
        <v>2324</v>
      </c>
      <c r="H30">
        <v>0</v>
      </c>
      <c r="I30">
        <v>0</v>
      </c>
      <c r="J30">
        <v>0</v>
      </c>
      <c r="K30">
        <v>418.32</v>
      </c>
      <c r="L30">
        <v>0</v>
      </c>
      <c r="M30">
        <v>0</v>
      </c>
      <c r="N30">
        <v>0</v>
      </c>
      <c r="O30">
        <v>0</v>
      </c>
      <c r="P30">
        <v>0</v>
      </c>
      <c r="Q30">
        <v>11.6</v>
      </c>
      <c r="R30">
        <v>2730.7200000000003</v>
      </c>
    </row>
    <row r="31" spans="1:18" x14ac:dyDescent="0.25">
      <c r="A31" t="s">
        <v>373</v>
      </c>
      <c r="B31" t="s">
        <v>118</v>
      </c>
      <c r="C31" t="s">
        <v>117</v>
      </c>
      <c r="D31" t="s">
        <v>380</v>
      </c>
      <c r="E31">
        <v>6</v>
      </c>
      <c r="F31">
        <v>0.18</v>
      </c>
      <c r="G31">
        <v>1736.7</v>
      </c>
      <c r="H31">
        <v>0</v>
      </c>
      <c r="I31">
        <v>0</v>
      </c>
      <c r="J31">
        <v>0</v>
      </c>
      <c r="K31">
        <v>312.606</v>
      </c>
      <c r="L31">
        <v>0</v>
      </c>
      <c r="M31">
        <v>0</v>
      </c>
      <c r="N31">
        <v>0</v>
      </c>
      <c r="O31">
        <v>0</v>
      </c>
      <c r="P31">
        <v>0</v>
      </c>
      <c r="Q31">
        <v>8.7</v>
      </c>
      <c r="R31">
        <v>2040.606</v>
      </c>
    </row>
    <row r="32" spans="1:18" x14ac:dyDescent="0.25">
      <c r="A32" t="s">
        <v>385</v>
      </c>
      <c r="B32" t="s">
        <v>173</v>
      </c>
      <c r="C32" t="s">
        <v>172</v>
      </c>
      <c r="D32" t="s">
        <v>171</v>
      </c>
      <c r="E32">
        <v>1</v>
      </c>
      <c r="F32">
        <v>0.18</v>
      </c>
      <c r="G32">
        <v>225.69</v>
      </c>
      <c r="H32">
        <v>0</v>
      </c>
      <c r="I32">
        <v>20.312099999999997</v>
      </c>
      <c r="J32">
        <v>20.312099999999997</v>
      </c>
      <c r="K32">
        <v>0</v>
      </c>
      <c r="L32">
        <v>0</v>
      </c>
      <c r="M32">
        <v>0</v>
      </c>
      <c r="N32">
        <v>0</v>
      </c>
      <c r="O32">
        <v>0.56</v>
      </c>
      <c r="P32">
        <v>0.56</v>
      </c>
      <c r="Q32">
        <v>0</v>
      </c>
      <c r="R32">
        <v>265.19419999999997</v>
      </c>
    </row>
    <row r="33" spans="1:18" x14ac:dyDescent="0.25">
      <c r="A33" t="s">
        <v>394</v>
      </c>
      <c r="B33" t="s">
        <v>173</v>
      </c>
      <c r="C33" t="s">
        <v>172</v>
      </c>
      <c r="D33" t="s">
        <v>110</v>
      </c>
      <c r="E33">
        <v>1</v>
      </c>
      <c r="F33">
        <v>0.18</v>
      </c>
      <c r="G33">
        <v>225.69</v>
      </c>
      <c r="H33">
        <v>0</v>
      </c>
      <c r="I33">
        <v>20.312099999999997</v>
      </c>
      <c r="J33">
        <v>20.312099999999997</v>
      </c>
      <c r="K33">
        <v>0</v>
      </c>
      <c r="L33">
        <v>0</v>
      </c>
      <c r="M33">
        <v>0</v>
      </c>
      <c r="N33">
        <v>0</v>
      </c>
      <c r="O33">
        <v>0.56</v>
      </c>
      <c r="P33">
        <v>0.56</v>
      </c>
      <c r="Q33">
        <v>0</v>
      </c>
      <c r="R33">
        <v>265.19419999999997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FormatPr defaultRowHeight="15" outlineLevelRow="0" outlineLevelCol="0" x14ac:dyDescent="55"/>
  <sheetData>
    <row r="1" spans="1:15" x14ac:dyDescent="0.25">
      <c r="A1" t="s">
        <v>405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411</v>
      </c>
      <c r="H1" t="s">
        <v>412</v>
      </c>
      <c r="I1" t="s">
        <v>9</v>
      </c>
      <c r="J1" t="s">
        <v>413</v>
      </c>
      <c r="K1" t="s">
        <v>414</v>
      </c>
      <c r="L1" t="s">
        <v>415</v>
      </c>
      <c r="M1" t="s">
        <v>416</v>
      </c>
      <c r="N1" t="s">
        <v>417</v>
      </c>
      <c r="O1" t="s">
        <v>418</v>
      </c>
    </row>
    <row r="2" spans="1:15" x14ac:dyDescent="0.25">
      <c r="A2" t="s">
        <v>419</v>
      </c>
      <c r="B2" t="s">
        <v>102</v>
      </c>
      <c r="C2" t="s">
        <v>118</v>
      </c>
      <c r="D2" t="s">
        <v>118</v>
      </c>
      <c r="E2" t="s">
        <v>419</v>
      </c>
      <c r="F2" t="s">
        <v>117</v>
      </c>
      <c r="G2" t="s">
        <v>420</v>
      </c>
      <c r="H2" t="s">
        <v>110</v>
      </c>
      <c r="I2">
        <v>1</v>
      </c>
      <c r="J2">
        <v>0.18</v>
      </c>
      <c r="K2">
        <v>225.69</v>
      </c>
      <c r="L2">
        <v>225.69</v>
      </c>
      <c r="M2">
        <v>0</v>
      </c>
      <c r="N2">
        <v>0</v>
      </c>
      <c r="O2">
        <v>40.624199999999995</v>
      </c>
    </row>
    <row r="3" spans="1:15" x14ac:dyDescent="0.25">
      <c r="A3" t="s">
        <v>419</v>
      </c>
      <c r="B3" t="s">
        <v>128</v>
      </c>
      <c r="C3" t="s">
        <v>118</v>
      </c>
      <c r="D3" t="s">
        <v>118</v>
      </c>
      <c r="E3" t="s">
        <v>419</v>
      </c>
      <c r="F3" t="s">
        <v>117</v>
      </c>
      <c r="G3" t="s">
        <v>420</v>
      </c>
      <c r="H3" t="s">
        <v>135</v>
      </c>
      <c r="I3">
        <v>1</v>
      </c>
      <c r="J3">
        <v>0.18</v>
      </c>
      <c r="K3">
        <v>582.25</v>
      </c>
      <c r="L3">
        <v>582.25</v>
      </c>
      <c r="M3">
        <v>0</v>
      </c>
      <c r="N3">
        <v>0</v>
      </c>
      <c r="O3">
        <v>104.80499999999999</v>
      </c>
    </row>
    <row r="4" spans="1:15" x14ac:dyDescent="0.25">
      <c r="A4" t="s">
        <v>419</v>
      </c>
      <c r="B4" t="s">
        <v>128</v>
      </c>
      <c r="C4" t="s">
        <v>118</v>
      </c>
      <c r="D4" t="s">
        <v>118</v>
      </c>
      <c r="E4" t="s">
        <v>419</v>
      </c>
      <c r="F4" t="s">
        <v>117</v>
      </c>
      <c r="G4" t="s">
        <v>420</v>
      </c>
      <c r="H4" t="s">
        <v>149</v>
      </c>
      <c r="I4">
        <v>1</v>
      </c>
      <c r="J4">
        <v>0.18</v>
      </c>
      <c r="K4">
        <v>177.86</v>
      </c>
      <c r="L4">
        <v>177.86</v>
      </c>
      <c r="M4">
        <v>0</v>
      </c>
      <c r="N4">
        <v>0</v>
      </c>
      <c r="O4">
        <v>32.0148</v>
      </c>
    </row>
    <row r="5" spans="1:15" x14ac:dyDescent="0.25">
      <c r="A5" t="s">
        <v>419</v>
      </c>
      <c r="B5" t="s">
        <v>128</v>
      </c>
      <c r="C5" t="s">
        <v>118</v>
      </c>
      <c r="D5" t="s">
        <v>118</v>
      </c>
      <c r="E5" t="s">
        <v>419</v>
      </c>
      <c r="F5" t="s">
        <v>117</v>
      </c>
      <c r="G5" t="s">
        <v>420</v>
      </c>
      <c r="H5" t="s">
        <v>149</v>
      </c>
      <c r="I5">
        <v>1</v>
      </c>
      <c r="J5">
        <v>0.18</v>
      </c>
      <c r="K5">
        <v>177.86</v>
      </c>
      <c r="L5">
        <v>177.86</v>
      </c>
      <c r="M5">
        <v>0</v>
      </c>
      <c r="N5">
        <v>0</v>
      </c>
      <c r="O5">
        <v>32.0148</v>
      </c>
    </row>
    <row r="6" spans="1:15" x14ac:dyDescent="0.25">
      <c r="A6" t="s">
        <v>419</v>
      </c>
      <c r="B6" t="s">
        <v>128</v>
      </c>
      <c r="C6" t="s">
        <v>173</v>
      </c>
      <c r="D6" t="s">
        <v>173</v>
      </c>
      <c r="E6" t="s">
        <v>419</v>
      </c>
      <c r="F6" t="s">
        <v>172</v>
      </c>
      <c r="G6" t="s">
        <v>420</v>
      </c>
      <c r="H6" t="s">
        <v>171</v>
      </c>
      <c r="I6">
        <v>1</v>
      </c>
      <c r="J6">
        <v>0.18</v>
      </c>
      <c r="K6">
        <v>225.69</v>
      </c>
      <c r="L6">
        <v>225.69</v>
      </c>
      <c r="M6">
        <v>0</v>
      </c>
      <c r="N6">
        <v>0</v>
      </c>
      <c r="O6">
        <v>0</v>
      </c>
    </row>
    <row r="7" spans="1:15" x14ac:dyDescent="0.25">
      <c r="A7" t="s">
        <v>419</v>
      </c>
      <c r="B7" t="s">
        <v>128</v>
      </c>
      <c r="C7" t="s">
        <v>118</v>
      </c>
      <c r="D7" t="s">
        <v>118</v>
      </c>
      <c r="E7" t="s">
        <v>419</v>
      </c>
      <c r="F7" t="s">
        <v>117</v>
      </c>
      <c r="G7" t="s">
        <v>420</v>
      </c>
      <c r="H7" t="s">
        <v>182</v>
      </c>
      <c r="I7">
        <v>1</v>
      </c>
      <c r="J7">
        <v>0.18</v>
      </c>
      <c r="K7">
        <v>180.38</v>
      </c>
      <c r="L7">
        <v>180.38</v>
      </c>
      <c r="M7">
        <v>0</v>
      </c>
      <c r="N7">
        <v>0</v>
      </c>
      <c r="O7">
        <v>32.468399999999995</v>
      </c>
    </row>
    <row r="8" spans="1:15" x14ac:dyDescent="0.25">
      <c r="A8" t="s">
        <v>419</v>
      </c>
      <c r="B8" t="s">
        <v>128</v>
      </c>
      <c r="C8" t="s">
        <v>118</v>
      </c>
      <c r="D8" t="s">
        <v>118</v>
      </c>
      <c r="E8" t="s">
        <v>419</v>
      </c>
      <c r="F8" t="s">
        <v>117</v>
      </c>
      <c r="G8" t="s">
        <v>420</v>
      </c>
      <c r="H8" t="s">
        <v>194</v>
      </c>
      <c r="I8">
        <v>12</v>
      </c>
      <c r="J8">
        <v>0.18</v>
      </c>
      <c r="K8">
        <v>2788.68</v>
      </c>
      <c r="L8">
        <v>232.39</v>
      </c>
      <c r="M8">
        <v>0</v>
      </c>
      <c r="N8">
        <v>0</v>
      </c>
      <c r="O8">
        <v>0</v>
      </c>
    </row>
    <row r="9" spans="1:15" x14ac:dyDescent="0.25">
      <c r="A9" t="s">
        <v>419</v>
      </c>
      <c r="B9" t="s">
        <v>128</v>
      </c>
      <c r="C9" t="s">
        <v>118</v>
      </c>
      <c r="D9" t="s">
        <v>118</v>
      </c>
      <c r="E9" t="s">
        <v>419</v>
      </c>
      <c r="F9" t="s">
        <v>117</v>
      </c>
      <c r="G9" t="s">
        <v>420</v>
      </c>
      <c r="H9" t="s">
        <v>203</v>
      </c>
      <c r="I9">
        <v>12</v>
      </c>
      <c r="J9">
        <v>0.18</v>
      </c>
      <c r="K9">
        <v>3120.96</v>
      </c>
      <c r="L9">
        <v>260.08</v>
      </c>
      <c r="M9">
        <v>0</v>
      </c>
      <c r="N9">
        <v>0</v>
      </c>
      <c r="O9">
        <v>0</v>
      </c>
    </row>
    <row r="10" spans="1:15" x14ac:dyDescent="0.25">
      <c r="A10" t="s">
        <v>419</v>
      </c>
      <c r="B10" t="s">
        <v>128</v>
      </c>
      <c r="C10" t="s">
        <v>118</v>
      </c>
      <c r="D10" t="s">
        <v>118</v>
      </c>
      <c r="E10" t="s">
        <v>419</v>
      </c>
      <c r="F10" t="s">
        <v>117</v>
      </c>
      <c r="G10" t="s">
        <v>420</v>
      </c>
      <c r="H10" t="s">
        <v>182</v>
      </c>
      <c r="I10">
        <v>1</v>
      </c>
      <c r="J10">
        <v>0.18</v>
      </c>
      <c r="K10">
        <v>180.38</v>
      </c>
      <c r="L10">
        <v>180.38</v>
      </c>
      <c r="M10">
        <v>0</v>
      </c>
      <c r="N10">
        <v>0</v>
      </c>
      <c r="O10">
        <v>32.468399999999995</v>
      </c>
    </row>
    <row r="11" spans="1:15" x14ac:dyDescent="0.25">
      <c r="A11" t="s">
        <v>419</v>
      </c>
      <c r="B11" t="s">
        <v>128</v>
      </c>
      <c r="C11" t="s">
        <v>118</v>
      </c>
      <c r="D11" t="s">
        <v>118</v>
      </c>
      <c r="E11" t="s">
        <v>419</v>
      </c>
      <c r="F11" t="s">
        <v>117</v>
      </c>
      <c r="G11" t="s">
        <v>420</v>
      </c>
      <c r="H11" t="s">
        <v>182</v>
      </c>
      <c r="I11">
        <v>1</v>
      </c>
      <c r="J11">
        <v>0.18</v>
      </c>
      <c r="K11">
        <v>180.38</v>
      </c>
      <c r="L11">
        <v>180.38</v>
      </c>
      <c r="M11">
        <v>0</v>
      </c>
      <c r="N11">
        <v>0</v>
      </c>
      <c r="O11">
        <v>32.468399999999995</v>
      </c>
    </row>
    <row r="12" spans="1:15" x14ac:dyDescent="0.25">
      <c r="A12" t="s">
        <v>419</v>
      </c>
      <c r="B12" t="s">
        <v>128</v>
      </c>
      <c r="C12" t="s">
        <v>118</v>
      </c>
      <c r="D12" t="s">
        <v>118</v>
      </c>
      <c r="E12" t="s">
        <v>419</v>
      </c>
      <c r="F12" t="s">
        <v>117</v>
      </c>
      <c r="G12" t="s">
        <v>420</v>
      </c>
      <c r="H12" t="s">
        <v>225</v>
      </c>
      <c r="I12">
        <v>1</v>
      </c>
      <c r="J12">
        <v>0.18</v>
      </c>
      <c r="K12">
        <v>334.75</v>
      </c>
      <c r="L12">
        <v>334.75</v>
      </c>
      <c r="M12">
        <v>0</v>
      </c>
      <c r="N12">
        <v>0</v>
      </c>
      <c r="O12">
        <v>60.254999999999995</v>
      </c>
    </row>
    <row r="13" spans="1:15" x14ac:dyDescent="0.25">
      <c r="A13" t="s">
        <v>419</v>
      </c>
      <c r="B13" t="s">
        <v>128</v>
      </c>
      <c r="C13" t="s">
        <v>118</v>
      </c>
      <c r="D13" t="s">
        <v>118</v>
      </c>
      <c r="E13" t="s">
        <v>419</v>
      </c>
      <c r="F13" t="s">
        <v>117</v>
      </c>
      <c r="G13" t="s">
        <v>420</v>
      </c>
      <c r="H13" t="s">
        <v>239</v>
      </c>
      <c r="I13">
        <v>2</v>
      </c>
      <c r="J13">
        <v>0.18</v>
      </c>
      <c r="K13">
        <v>501.72</v>
      </c>
      <c r="L13">
        <v>250.86</v>
      </c>
      <c r="M13">
        <v>0</v>
      </c>
      <c r="N13">
        <v>0</v>
      </c>
      <c r="O13">
        <v>90.3096</v>
      </c>
    </row>
    <row r="14" spans="1:15" x14ac:dyDescent="0.25">
      <c r="A14" t="s">
        <v>419</v>
      </c>
      <c r="B14" t="s">
        <v>128</v>
      </c>
      <c r="C14" t="s">
        <v>118</v>
      </c>
      <c r="D14" t="s">
        <v>118</v>
      </c>
      <c r="E14" t="s">
        <v>419</v>
      </c>
      <c r="F14" t="s">
        <v>117</v>
      </c>
      <c r="G14" t="s">
        <v>420</v>
      </c>
      <c r="H14" t="s">
        <v>250</v>
      </c>
      <c r="I14">
        <v>1</v>
      </c>
      <c r="J14">
        <v>0.18</v>
      </c>
      <c r="K14">
        <v>119.14</v>
      </c>
      <c r="L14">
        <v>119.14</v>
      </c>
      <c r="M14">
        <v>0</v>
      </c>
      <c r="N14">
        <v>0</v>
      </c>
      <c r="O14">
        <v>21.4452</v>
      </c>
    </row>
    <row r="15" spans="1:15" x14ac:dyDescent="0.25">
      <c r="A15" t="s">
        <v>419</v>
      </c>
      <c r="B15" t="s">
        <v>128</v>
      </c>
      <c r="C15" t="s">
        <v>118</v>
      </c>
      <c r="D15" t="s">
        <v>118</v>
      </c>
      <c r="E15" t="s">
        <v>419</v>
      </c>
      <c r="F15" t="s">
        <v>117</v>
      </c>
      <c r="G15" t="s">
        <v>420</v>
      </c>
      <c r="H15" t="s">
        <v>261</v>
      </c>
      <c r="I15">
        <v>1</v>
      </c>
      <c r="J15">
        <v>0.18</v>
      </c>
      <c r="K15">
        <v>208.91</v>
      </c>
      <c r="L15">
        <v>208.91</v>
      </c>
      <c r="M15">
        <v>0</v>
      </c>
      <c r="N15">
        <v>0</v>
      </c>
      <c r="O15">
        <v>37.6038</v>
      </c>
    </row>
    <row r="16" spans="1:15" x14ac:dyDescent="0.25">
      <c r="A16" t="s">
        <v>419</v>
      </c>
      <c r="B16" t="s">
        <v>128</v>
      </c>
      <c r="C16" t="s">
        <v>118</v>
      </c>
      <c r="D16" t="s">
        <v>118</v>
      </c>
      <c r="E16" t="s">
        <v>419</v>
      </c>
      <c r="F16" t="s">
        <v>117</v>
      </c>
      <c r="G16" t="s">
        <v>420</v>
      </c>
      <c r="H16" t="s">
        <v>265</v>
      </c>
      <c r="I16">
        <v>1</v>
      </c>
      <c r="J16">
        <v>0.18</v>
      </c>
      <c r="K16">
        <v>376.7</v>
      </c>
      <c r="L16">
        <v>376.7</v>
      </c>
      <c r="M16">
        <v>0</v>
      </c>
      <c r="N16">
        <v>0</v>
      </c>
      <c r="O16">
        <v>67.806</v>
      </c>
    </row>
    <row r="17" spans="1:15" x14ac:dyDescent="0.25">
      <c r="A17" t="s">
        <v>419</v>
      </c>
      <c r="B17" t="s">
        <v>128</v>
      </c>
      <c r="C17" t="s">
        <v>118</v>
      </c>
      <c r="D17" t="s">
        <v>118</v>
      </c>
      <c r="E17" t="s">
        <v>419</v>
      </c>
      <c r="F17" t="s">
        <v>117</v>
      </c>
      <c r="G17" t="s">
        <v>420</v>
      </c>
      <c r="H17" t="s">
        <v>182</v>
      </c>
      <c r="I17">
        <v>1</v>
      </c>
      <c r="J17">
        <v>0.18</v>
      </c>
      <c r="K17">
        <v>180.38</v>
      </c>
      <c r="L17">
        <v>180.38</v>
      </c>
      <c r="M17">
        <v>0</v>
      </c>
      <c r="N17">
        <v>0</v>
      </c>
      <c r="O17">
        <v>32.468399999999995</v>
      </c>
    </row>
    <row r="18" spans="1:15" x14ac:dyDescent="0.25">
      <c r="A18" t="s">
        <v>419</v>
      </c>
      <c r="B18" t="s">
        <v>128</v>
      </c>
      <c r="C18" t="s">
        <v>118</v>
      </c>
      <c r="D18" t="s">
        <v>118</v>
      </c>
      <c r="E18" t="s">
        <v>419</v>
      </c>
      <c r="F18" t="s">
        <v>117</v>
      </c>
      <c r="G18" t="s">
        <v>420</v>
      </c>
      <c r="H18" t="s">
        <v>277</v>
      </c>
      <c r="I18">
        <v>1</v>
      </c>
      <c r="J18">
        <v>0.18</v>
      </c>
      <c r="K18">
        <v>888.48</v>
      </c>
      <c r="L18">
        <v>888.48</v>
      </c>
      <c r="M18">
        <v>0</v>
      </c>
      <c r="N18">
        <v>0</v>
      </c>
      <c r="O18">
        <v>159.9264</v>
      </c>
    </row>
    <row r="19" spans="1:15" x14ac:dyDescent="0.25">
      <c r="A19" t="s">
        <v>419</v>
      </c>
      <c r="B19" t="s">
        <v>128</v>
      </c>
      <c r="C19" t="s">
        <v>118</v>
      </c>
      <c r="D19" t="s">
        <v>118</v>
      </c>
      <c r="E19" t="s">
        <v>419</v>
      </c>
      <c r="F19" t="s">
        <v>117</v>
      </c>
      <c r="G19" t="s">
        <v>420</v>
      </c>
      <c r="H19" t="s">
        <v>287</v>
      </c>
      <c r="I19">
        <v>1</v>
      </c>
      <c r="J19">
        <v>0.18</v>
      </c>
      <c r="K19">
        <v>754.25</v>
      </c>
      <c r="L19">
        <v>754.25</v>
      </c>
      <c r="M19">
        <v>0</v>
      </c>
      <c r="N19">
        <v>0</v>
      </c>
      <c r="O19">
        <v>135.765</v>
      </c>
    </row>
    <row r="20" spans="1:15" x14ac:dyDescent="0.25">
      <c r="A20" t="s">
        <v>419</v>
      </c>
      <c r="B20" t="s">
        <v>128</v>
      </c>
      <c r="C20" t="s">
        <v>118</v>
      </c>
      <c r="D20" t="s">
        <v>118</v>
      </c>
      <c r="E20" t="s">
        <v>419</v>
      </c>
      <c r="F20" t="s">
        <v>117</v>
      </c>
      <c r="G20" t="s">
        <v>420</v>
      </c>
      <c r="H20" t="s">
        <v>298</v>
      </c>
      <c r="I20">
        <v>1</v>
      </c>
      <c r="J20">
        <v>0.18</v>
      </c>
      <c r="K20">
        <v>192.13</v>
      </c>
      <c r="L20">
        <v>192.13</v>
      </c>
      <c r="M20">
        <v>0</v>
      </c>
      <c r="N20">
        <v>0</v>
      </c>
      <c r="O20">
        <v>34.5834</v>
      </c>
    </row>
    <row r="21" spans="1:15" x14ac:dyDescent="0.25">
      <c r="A21" t="s">
        <v>419</v>
      </c>
      <c r="B21" t="s">
        <v>128</v>
      </c>
      <c r="C21" t="s">
        <v>118</v>
      </c>
      <c r="D21" t="s">
        <v>118</v>
      </c>
      <c r="E21" t="s">
        <v>419</v>
      </c>
      <c r="F21" t="s">
        <v>117</v>
      </c>
      <c r="G21" t="s">
        <v>420</v>
      </c>
      <c r="H21" t="s">
        <v>149</v>
      </c>
      <c r="I21">
        <v>1</v>
      </c>
      <c r="J21">
        <v>0.18</v>
      </c>
      <c r="K21">
        <v>177.86</v>
      </c>
      <c r="L21">
        <v>177.86</v>
      </c>
      <c r="M21">
        <v>0</v>
      </c>
      <c r="N21">
        <v>0</v>
      </c>
      <c r="O21">
        <v>32.0148</v>
      </c>
    </row>
    <row r="22" spans="1:15" x14ac:dyDescent="0.25">
      <c r="A22" t="s">
        <v>419</v>
      </c>
      <c r="B22" t="s">
        <v>128</v>
      </c>
      <c r="C22" t="s">
        <v>118</v>
      </c>
      <c r="D22" t="s">
        <v>118</v>
      </c>
      <c r="E22" t="s">
        <v>419</v>
      </c>
      <c r="F22" t="s">
        <v>117</v>
      </c>
      <c r="G22" t="s">
        <v>420</v>
      </c>
      <c r="H22" t="s">
        <v>317</v>
      </c>
      <c r="I22">
        <v>1</v>
      </c>
      <c r="J22">
        <v>0.18</v>
      </c>
      <c r="K22">
        <v>838.14</v>
      </c>
      <c r="L22">
        <v>838.14</v>
      </c>
      <c r="M22">
        <v>0</v>
      </c>
      <c r="N22">
        <v>0</v>
      </c>
      <c r="O22">
        <v>150.8652</v>
      </c>
    </row>
    <row r="23" spans="1:15" x14ac:dyDescent="0.25">
      <c r="A23" t="s">
        <v>419</v>
      </c>
      <c r="B23" t="s">
        <v>128</v>
      </c>
      <c r="C23" t="s">
        <v>118</v>
      </c>
      <c r="D23" t="s">
        <v>118</v>
      </c>
      <c r="E23" t="s">
        <v>419</v>
      </c>
      <c r="F23" t="s">
        <v>117</v>
      </c>
      <c r="G23" t="s">
        <v>420</v>
      </c>
      <c r="H23" t="s">
        <v>329</v>
      </c>
      <c r="I23">
        <v>1</v>
      </c>
      <c r="J23">
        <v>0.18</v>
      </c>
      <c r="K23">
        <v>334.75</v>
      </c>
      <c r="L23">
        <v>334.75</v>
      </c>
      <c r="M23">
        <v>0</v>
      </c>
      <c r="N23">
        <v>0</v>
      </c>
      <c r="O23">
        <v>60.254999999999995</v>
      </c>
    </row>
    <row r="24" spans="1:15" x14ac:dyDescent="0.25">
      <c r="A24" t="s">
        <v>419</v>
      </c>
      <c r="B24" t="s">
        <v>128</v>
      </c>
      <c r="C24" t="s">
        <v>118</v>
      </c>
      <c r="D24" t="s">
        <v>118</v>
      </c>
      <c r="E24" t="s">
        <v>419</v>
      </c>
      <c r="F24" t="s">
        <v>117</v>
      </c>
      <c r="G24" t="s">
        <v>420</v>
      </c>
      <c r="H24" t="s">
        <v>317</v>
      </c>
      <c r="I24">
        <v>2</v>
      </c>
      <c r="J24">
        <v>0.18</v>
      </c>
      <c r="K24">
        <v>1676.28</v>
      </c>
      <c r="L24">
        <v>838.14</v>
      </c>
      <c r="M24">
        <v>0</v>
      </c>
      <c r="N24">
        <v>0</v>
      </c>
      <c r="O24">
        <v>301.7304</v>
      </c>
    </row>
    <row r="25" spans="1:15" x14ac:dyDescent="0.25">
      <c r="A25" t="s">
        <v>419</v>
      </c>
      <c r="B25" t="s">
        <v>128</v>
      </c>
      <c r="C25" t="s">
        <v>118</v>
      </c>
      <c r="D25" t="s">
        <v>118</v>
      </c>
      <c r="E25" t="s">
        <v>419</v>
      </c>
      <c r="F25" t="s">
        <v>117</v>
      </c>
      <c r="G25" t="s">
        <v>420</v>
      </c>
      <c r="H25" t="s">
        <v>345</v>
      </c>
      <c r="I25">
        <v>1</v>
      </c>
      <c r="J25">
        <v>0.18</v>
      </c>
      <c r="K25">
        <v>931.36</v>
      </c>
      <c r="L25">
        <v>931.36</v>
      </c>
      <c r="M25">
        <v>0</v>
      </c>
      <c r="N25">
        <v>0</v>
      </c>
      <c r="O25">
        <v>167.6448</v>
      </c>
    </row>
    <row r="26" spans="1:15" x14ac:dyDescent="0.25">
      <c r="A26" t="s">
        <v>419</v>
      </c>
      <c r="B26" t="s">
        <v>128</v>
      </c>
      <c r="C26" t="s">
        <v>118</v>
      </c>
      <c r="D26" t="s">
        <v>118</v>
      </c>
      <c r="E26" t="s">
        <v>419</v>
      </c>
      <c r="F26" t="s">
        <v>117</v>
      </c>
      <c r="G26" t="s">
        <v>420</v>
      </c>
      <c r="H26" t="s">
        <v>277</v>
      </c>
      <c r="I26">
        <v>1</v>
      </c>
      <c r="J26">
        <v>0.18</v>
      </c>
      <c r="K26">
        <v>888.48</v>
      </c>
      <c r="L26">
        <v>888.48</v>
      </c>
      <c r="M26">
        <v>0</v>
      </c>
      <c r="N26">
        <v>0</v>
      </c>
      <c r="O26">
        <v>159.9264</v>
      </c>
    </row>
    <row r="27" spans="1:15" x14ac:dyDescent="0.25">
      <c r="A27" t="s">
        <v>419</v>
      </c>
      <c r="B27" t="s">
        <v>128</v>
      </c>
      <c r="C27" t="s">
        <v>118</v>
      </c>
      <c r="D27" t="s">
        <v>118</v>
      </c>
      <c r="E27" t="s">
        <v>419</v>
      </c>
      <c r="F27" t="s">
        <v>117</v>
      </c>
      <c r="G27" t="s">
        <v>420</v>
      </c>
      <c r="H27" t="s">
        <v>351</v>
      </c>
      <c r="I27">
        <v>1</v>
      </c>
      <c r="J27">
        <v>0.18</v>
      </c>
      <c r="K27">
        <v>418.65</v>
      </c>
      <c r="L27">
        <v>418.65</v>
      </c>
      <c r="M27">
        <v>0</v>
      </c>
      <c r="N27">
        <v>0</v>
      </c>
      <c r="O27">
        <v>75.357</v>
      </c>
    </row>
    <row r="28" spans="1:15" x14ac:dyDescent="0.25">
      <c r="A28" t="s">
        <v>419</v>
      </c>
      <c r="B28" t="s">
        <v>128</v>
      </c>
      <c r="C28" t="s">
        <v>118</v>
      </c>
      <c r="D28" t="s">
        <v>118</v>
      </c>
      <c r="E28" t="s">
        <v>419</v>
      </c>
      <c r="F28" t="s">
        <v>117</v>
      </c>
      <c r="G28" t="s">
        <v>420</v>
      </c>
      <c r="H28" t="s">
        <v>355</v>
      </c>
      <c r="I28">
        <v>1</v>
      </c>
      <c r="J28">
        <v>0.18</v>
      </c>
      <c r="K28">
        <v>897.46</v>
      </c>
      <c r="L28">
        <v>897.46</v>
      </c>
      <c r="M28">
        <v>0</v>
      </c>
      <c r="N28">
        <v>0</v>
      </c>
      <c r="O28">
        <v>161.5428</v>
      </c>
    </row>
    <row r="29" spans="1:15" x14ac:dyDescent="0.25">
      <c r="A29" t="s">
        <v>419</v>
      </c>
      <c r="B29" t="s">
        <v>128</v>
      </c>
      <c r="C29" t="s">
        <v>118</v>
      </c>
      <c r="D29" t="s">
        <v>118</v>
      </c>
      <c r="E29" t="s">
        <v>419</v>
      </c>
      <c r="F29" t="s">
        <v>117</v>
      </c>
      <c r="G29" t="s">
        <v>420</v>
      </c>
      <c r="H29" t="s">
        <v>362</v>
      </c>
      <c r="I29">
        <v>1</v>
      </c>
      <c r="J29">
        <v>0.18</v>
      </c>
      <c r="K29">
        <v>192.13</v>
      </c>
      <c r="L29">
        <v>192.13</v>
      </c>
      <c r="M29">
        <v>0</v>
      </c>
      <c r="N29">
        <v>0</v>
      </c>
      <c r="O29">
        <v>34.5834</v>
      </c>
    </row>
    <row r="30" spans="1:15" x14ac:dyDescent="0.25">
      <c r="A30" t="s">
        <v>419</v>
      </c>
      <c r="B30" t="s">
        <v>128</v>
      </c>
      <c r="C30" t="s">
        <v>118</v>
      </c>
      <c r="D30" t="s">
        <v>118</v>
      </c>
      <c r="E30" t="s">
        <v>419</v>
      </c>
      <c r="F30" t="s">
        <v>117</v>
      </c>
      <c r="G30" t="s">
        <v>420</v>
      </c>
      <c r="H30" t="s">
        <v>194</v>
      </c>
      <c r="I30">
        <v>10</v>
      </c>
      <c r="J30">
        <v>0.18</v>
      </c>
      <c r="K30">
        <v>2324</v>
      </c>
      <c r="L30">
        <v>232.4</v>
      </c>
      <c r="M30">
        <v>0</v>
      </c>
      <c r="N30">
        <v>0</v>
      </c>
      <c r="O30">
        <v>418.32</v>
      </c>
    </row>
    <row r="31" spans="1:15" x14ac:dyDescent="0.25">
      <c r="A31" t="s">
        <v>419</v>
      </c>
      <c r="B31" t="s">
        <v>373</v>
      </c>
      <c r="C31" t="s">
        <v>118</v>
      </c>
      <c r="D31" t="s">
        <v>118</v>
      </c>
      <c r="E31" t="s">
        <v>419</v>
      </c>
      <c r="F31" t="s">
        <v>117</v>
      </c>
      <c r="G31" t="s">
        <v>420</v>
      </c>
      <c r="H31" t="s">
        <v>380</v>
      </c>
      <c r="I31">
        <v>6</v>
      </c>
      <c r="J31">
        <v>0.18</v>
      </c>
      <c r="K31">
        <v>1736.7</v>
      </c>
      <c r="L31">
        <v>289.45</v>
      </c>
      <c r="M31">
        <v>0</v>
      </c>
      <c r="N31">
        <v>0</v>
      </c>
      <c r="O31">
        <v>312.606</v>
      </c>
    </row>
    <row r="32" spans="1:15" x14ac:dyDescent="0.25">
      <c r="A32" t="s">
        <v>419</v>
      </c>
      <c r="B32" t="s">
        <v>385</v>
      </c>
      <c r="C32" t="s">
        <v>173</v>
      </c>
      <c r="D32" t="s">
        <v>173</v>
      </c>
      <c r="E32" t="s">
        <v>419</v>
      </c>
      <c r="F32" t="s">
        <v>172</v>
      </c>
      <c r="G32" t="s">
        <v>420</v>
      </c>
      <c r="H32" t="s">
        <v>171</v>
      </c>
      <c r="I32">
        <v>1</v>
      </c>
      <c r="J32">
        <v>0.18</v>
      </c>
      <c r="K32">
        <v>225.69</v>
      </c>
      <c r="L32">
        <v>225.69</v>
      </c>
      <c r="M32">
        <v>20.312099999999997</v>
      </c>
      <c r="N32">
        <v>20.312099999999997</v>
      </c>
      <c r="O32">
        <v>0</v>
      </c>
    </row>
    <row r="33" spans="1:15" x14ac:dyDescent="0.25">
      <c r="A33" t="s">
        <v>419</v>
      </c>
      <c r="B33" t="s">
        <v>394</v>
      </c>
      <c r="C33" t="s">
        <v>173</v>
      </c>
      <c r="D33" t="s">
        <v>173</v>
      </c>
      <c r="E33" t="s">
        <v>419</v>
      </c>
      <c r="F33" t="s">
        <v>172</v>
      </c>
      <c r="G33" t="s">
        <v>420</v>
      </c>
      <c r="H33" t="s">
        <v>110</v>
      </c>
      <c r="I33">
        <v>1</v>
      </c>
      <c r="J33">
        <v>0.18</v>
      </c>
      <c r="K33">
        <v>225.69</v>
      </c>
      <c r="L33">
        <v>225.69</v>
      </c>
      <c r="M33">
        <v>20.312099999999997</v>
      </c>
      <c r="N33">
        <v>20.312099999999997</v>
      </c>
      <c r="O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sheetData>
    <row r="1" spans="1:12" x14ac:dyDescent="0.25">
      <c r="A1" t="s">
        <v>405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411</v>
      </c>
      <c r="H1" t="s">
        <v>413</v>
      </c>
      <c r="I1" t="s">
        <v>414</v>
      </c>
      <c r="J1" t="s">
        <v>416</v>
      </c>
      <c r="K1" t="s">
        <v>417</v>
      </c>
      <c r="L1" t="s">
        <v>418</v>
      </c>
    </row>
    <row r="2" spans="1:12" x14ac:dyDescent="0.25">
      <c r="A2" t="s">
        <v>419</v>
      </c>
      <c r="B2" t="s">
        <v>102</v>
      </c>
      <c r="C2" t="s">
        <v>118</v>
      </c>
      <c r="D2" t="s">
        <v>118</v>
      </c>
      <c r="E2" t="s">
        <v>419</v>
      </c>
      <c r="F2" t="s">
        <v>117</v>
      </c>
      <c r="G2" t="s">
        <v>420</v>
      </c>
      <c r="H2">
        <v>0.18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419</v>
      </c>
      <c r="B3" t="s">
        <v>128</v>
      </c>
      <c r="C3" t="s">
        <v>118</v>
      </c>
      <c r="D3" t="s">
        <v>118</v>
      </c>
      <c r="E3" t="s">
        <v>419</v>
      </c>
      <c r="F3" t="s">
        <v>117</v>
      </c>
      <c r="G3" t="s">
        <v>420</v>
      </c>
      <c r="H3">
        <v>0.18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419</v>
      </c>
      <c r="B4" t="s">
        <v>128</v>
      </c>
      <c r="C4" t="s">
        <v>118</v>
      </c>
      <c r="D4" t="s">
        <v>118</v>
      </c>
      <c r="E4" t="s">
        <v>419</v>
      </c>
      <c r="F4" t="s">
        <v>117</v>
      </c>
      <c r="G4" t="s">
        <v>420</v>
      </c>
      <c r="H4">
        <v>0.18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419</v>
      </c>
      <c r="B5" t="s">
        <v>128</v>
      </c>
      <c r="C5" t="s">
        <v>118</v>
      </c>
      <c r="D5" t="s">
        <v>118</v>
      </c>
      <c r="E5" t="s">
        <v>419</v>
      </c>
      <c r="F5" t="s">
        <v>117</v>
      </c>
      <c r="G5" t="s">
        <v>420</v>
      </c>
      <c r="H5">
        <v>0.18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419</v>
      </c>
      <c r="B6" t="s">
        <v>128</v>
      </c>
      <c r="C6" t="s">
        <v>173</v>
      </c>
      <c r="D6" t="s">
        <v>173</v>
      </c>
      <c r="E6" t="s">
        <v>419</v>
      </c>
      <c r="F6" t="s">
        <v>172</v>
      </c>
      <c r="G6" t="s">
        <v>420</v>
      </c>
      <c r="H6">
        <v>0.18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419</v>
      </c>
      <c r="B7" t="s">
        <v>128</v>
      </c>
      <c r="C7" t="s">
        <v>118</v>
      </c>
      <c r="D7" t="s">
        <v>118</v>
      </c>
      <c r="E7" t="s">
        <v>419</v>
      </c>
      <c r="F7" t="s">
        <v>117</v>
      </c>
      <c r="G7" t="s">
        <v>420</v>
      </c>
      <c r="H7">
        <v>0.18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419</v>
      </c>
      <c r="B8" t="s">
        <v>128</v>
      </c>
      <c r="C8" t="s">
        <v>118</v>
      </c>
      <c r="D8" t="s">
        <v>118</v>
      </c>
      <c r="E8" t="s">
        <v>419</v>
      </c>
      <c r="F8" t="s">
        <v>117</v>
      </c>
      <c r="G8" t="s">
        <v>420</v>
      </c>
      <c r="H8">
        <v>0.18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419</v>
      </c>
      <c r="B9" t="s">
        <v>128</v>
      </c>
      <c r="C9" t="s">
        <v>118</v>
      </c>
      <c r="D9" t="s">
        <v>118</v>
      </c>
      <c r="E9" t="s">
        <v>419</v>
      </c>
      <c r="F9" t="s">
        <v>117</v>
      </c>
      <c r="G9" t="s">
        <v>420</v>
      </c>
      <c r="H9">
        <v>0.18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419</v>
      </c>
      <c r="B10" t="s">
        <v>128</v>
      </c>
      <c r="C10" t="s">
        <v>118</v>
      </c>
      <c r="D10" t="s">
        <v>118</v>
      </c>
      <c r="E10" t="s">
        <v>419</v>
      </c>
      <c r="F10" t="s">
        <v>117</v>
      </c>
      <c r="G10" t="s">
        <v>420</v>
      </c>
      <c r="H10">
        <v>0.18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419</v>
      </c>
      <c r="B11" t="s">
        <v>128</v>
      </c>
      <c r="C11" t="s">
        <v>118</v>
      </c>
      <c r="D11" t="s">
        <v>118</v>
      </c>
      <c r="E11" t="s">
        <v>419</v>
      </c>
      <c r="F11" t="s">
        <v>117</v>
      </c>
      <c r="G11" t="s">
        <v>420</v>
      </c>
      <c r="H11">
        <v>0.18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419</v>
      </c>
      <c r="B12" t="s">
        <v>128</v>
      </c>
      <c r="C12" t="s">
        <v>118</v>
      </c>
      <c r="D12" t="s">
        <v>118</v>
      </c>
      <c r="E12" t="s">
        <v>419</v>
      </c>
      <c r="F12" t="s">
        <v>117</v>
      </c>
      <c r="G12" t="s">
        <v>420</v>
      </c>
      <c r="H12">
        <v>0.18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419</v>
      </c>
      <c r="B13" t="s">
        <v>128</v>
      </c>
      <c r="C13" t="s">
        <v>118</v>
      </c>
      <c r="D13" t="s">
        <v>118</v>
      </c>
      <c r="E13" t="s">
        <v>419</v>
      </c>
      <c r="F13" t="s">
        <v>117</v>
      </c>
      <c r="G13" t="s">
        <v>420</v>
      </c>
      <c r="H13">
        <v>0.18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419</v>
      </c>
      <c r="B14" t="s">
        <v>128</v>
      </c>
      <c r="C14" t="s">
        <v>118</v>
      </c>
      <c r="D14" t="s">
        <v>118</v>
      </c>
      <c r="E14" t="s">
        <v>419</v>
      </c>
      <c r="F14" t="s">
        <v>117</v>
      </c>
      <c r="G14" t="s">
        <v>420</v>
      </c>
      <c r="H14">
        <v>0.18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419</v>
      </c>
      <c r="B15" t="s">
        <v>128</v>
      </c>
      <c r="C15" t="s">
        <v>118</v>
      </c>
      <c r="D15" t="s">
        <v>118</v>
      </c>
      <c r="E15" t="s">
        <v>419</v>
      </c>
      <c r="F15" t="s">
        <v>117</v>
      </c>
      <c r="G15" t="s">
        <v>420</v>
      </c>
      <c r="H15">
        <v>0.18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419</v>
      </c>
      <c r="B16" t="s">
        <v>128</v>
      </c>
      <c r="C16" t="s">
        <v>118</v>
      </c>
      <c r="D16" t="s">
        <v>118</v>
      </c>
      <c r="E16" t="s">
        <v>419</v>
      </c>
      <c r="F16" t="s">
        <v>117</v>
      </c>
      <c r="G16" t="s">
        <v>420</v>
      </c>
      <c r="H16">
        <v>0.18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419</v>
      </c>
      <c r="B17" t="s">
        <v>128</v>
      </c>
      <c r="C17" t="s">
        <v>118</v>
      </c>
      <c r="D17" t="s">
        <v>118</v>
      </c>
      <c r="E17" t="s">
        <v>419</v>
      </c>
      <c r="F17" t="s">
        <v>117</v>
      </c>
      <c r="G17" t="s">
        <v>420</v>
      </c>
      <c r="H17">
        <v>0.18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419</v>
      </c>
      <c r="B18" t="s">
        <v>128</v>
      </c>
      <c r="C18" t="s">
        <v>118</v>
      </c>
      <c r="D18" t="s">
        <v>118</v>
      </c>
      <c r="E18" t="s">
        <v>419</v>
      </c>
      <c r="F18" t="s">
        <v>117</v>
      </c>
      <c r="G18" t="s">
        <v>420</v>
      </c>
      <c r="H18">
        <v>0.18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419</v>
      </c>
      <c r="B19" t="s">
        <v>128</v>
      </c>
      <c r="C19" t="s">
        <v>118</v>
      </c>
      <c r="D19" t="s">
        <v>118</v>
      </c>
      <c r="E19" t="s">
        <v>419</v>
      </c>
      <c r="F19" t="s">
        <v>117</v>
      </c>
      <c r="G19" t="s">
        <v>420</v>
      </c>
      <c r="H19">
        <v>0.18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419</v>
      </c>
      <c r="B20" t="s">
        <v>128</v>
      </c>
      <c r="C20" t="s">
        <v>118</v>
      </c>
      <c r="D20" t="s">
        <v>118</v>
      </c>
      <c r="E20" t="s">
        <v>419</v>
      </c>
      <c r="F20" t="s">
        <v>117</v>
      </c>
      <c r="G20" t="s">
        <v>420</v>
      </c>
      <c r="H20">
        <v>0.18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419</v>
      </c>
      <c r="B21" t="s">
        <v>128</v>
      </c>
      <c r="C21" t="s">
        <v>118</v>
      </c>
      <c r="D21" t="s">
        <v>118</v>
      </c>
      <c r="E21" t="s">
        <v>419</v>
      </c>
      <c r="F21" t="s">
        <v>117</v>
      </c>
      <c r="G21" t="s">
        <v>420</v>
      </c>
      <c r="H21">
        <v>0.18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419</v>
      </c>
      <c r="B22" t="s">
        <v>128</v>
      </c>
      <c r="C22" t="s">
        <v>118</v>
      </c>
      <c r="D22" t="s">
        <v>118</v>
      </c>
      <c r="E22" t="s">
        <v>419</v>
      </c>
      <c r="F22" t="s">
        <v>117</v>
      </c>
      <c r="G22" t="s">
        <v>420</v>
      </c>
      <c r="H22">
        <v>0.18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419</v>
      </c>
      <c r="B23" t="s">
        <v>128</v>
      </c>
      <c r="C23" t="s">
        <v>118</v>
      </c>
      <c r="D23" t="s">
        <v>118</v>
      </c>
      <c r="E23" t="s">
        <v>419</v>
      </c>
      <c r="F23" t="s">
        <v>117</v>
      </c>
      <c r="G23" t="s">
        <v>420</v>
      </c>
      <c r="H23">
        <v>0.18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419</v>
      </c>
      <c r="B24" t="s">
        <v>128</v>
      </c>
      <c r="C24" t="s">
        <v>118</v>
      </c>
      <c r="D24" t="s">
        <v>118</v>
      </c>
      <c r="E24" t="s">
        <v>419</v>
      </c>
      <c r="F24" t="s">
        <v>117</v>
      </c>
      <c r="G24" t="s">
        <v>420</v>
      </c>
      <c r="H24">
        <v>0.18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419</v>
      </c>
      <c r="B25" t="s">
        <v>128</v>
      </c>
      <c r="C25" t="s">
        <v>118</v>
      </c>
      <c r="D25" t="s">
        <v>118</v>
      </c>
      <c r="E25" t="s">
        <v>419</v>
      </c>
      <c r="F25" t="s">
        <v>117</v>
      </c>
      <c r="G25" t="s">
        <v>420</v>
      </c>
      <c r="H25">
        <v>0.18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419</v>
      </c>
      <c r="B26" t="s">
        <v>128</v>
      </c>
      <c r="C26" t="s">
        <v>118</v>
      </c>
      <c r="D26" t="s">
        <v>118</v>
      </c>
      <c r="E26" t="s">
        <v>419</v>
      </c>
      <c r="F26" t="s">
        <v>117</v>
      </c>
      <c r="G26" t="s">
        <v>420</v>
      </c>
      <c r="H26">
        <v>0.18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419</v>
      </c>
      <c r="B27" t="s">
        <v>128</v>
      </c>
      <c r="C27" t="s">
        <v>118</v>
      </c>
      <c r="D27" t="s">
        <v>118</v>
      </c>
      <c r="E27" t="s">
        <v>419</v>
      </c>
      <c r="F27" t="s">
        <v>117</v>
      </c>
      <c r="G27" t="s">
        <v>420</v>
      </c>
      <c r="H27">
        <v>0.18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419</v>
      </c>
      <c r="B28" t="s">
        <v>128</v>
      </c>
      <c r="C28" t="s">
        <v>118</v>
      </c>
      <c r="D28" t="s">
        <v>118</v>
      </c>
      <c r="E28" t="s">
        <v>419</v>
      </c>
      <c r="F28" t="s">
        <v>117</v>
      </c>
      <c r="G28" t="s">
        <v>420</v>
      </c>
      <c r="H28">
        <v>0.18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419</v>
      </c>
      <c r="B29" t="s">
        <v>128</v>
      </c>
      <c r="C29" t="s">
        <v>118</v>
      </c>
      <c r="D29" t="s">
        <v>118</v>
      </c>
      <c r="E29" t="s">
        <v>419</v>
      </c>
      <c r="F29" t="s">
        <v>117</v>
      </c>
      <c r="G29" t="s">
        <v>420</v>
      </c>
      <c r="H29">
        <v>0.18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419</v>
      </c>
      <c r="B30" t="s">
        <v>128</v>
      </c>
      <c r="C30" t="s">
        <v>118</v>
      </c>
      <c r="D30" t="s">
        <v>118</v>
      </c>
      <c r="E30" t="s">
        <v>419</v>
      </c>
      <c r="F30" t="s">
        <v>117</v>
      </c>
      <c r="G30" t="s">
        <v>420</v>
      </c>
      <c r="H30">
        <v>0.18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419</v>
      </c>
      <c r="B31" t="s">
        <v>373</v>
      </c>
      <c r="C31" t="s">
        <v>118</v>
      </c>
      <c r="D31" t="s">
        <v>118</v>
      </c>
      <c r="E31" t="s">
        <v>419</v>
      </c>
      <c r="F31" t="s">
        <v>117</v>
      </c>
      <c r="G31" t="s">
        <v>420</v>
      </c>
      <c r="H31">
        <v>0.18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419</v>
      </c>
      <c r="B32" t="s">
        <v>385</v>
      </c>
      <c r="C32" t="s">
        <v>173</v>
      </c>
      <c r="D32" t="s">
        <v>173</v>
      </c>
      <c r="E32" t="s">
        <v>419</v>
      </c>
      <c r="F32" t="s">
        <v>172</v>
      </c>
      <c r="G32" t="s">
        <v>420</v>
      </c>
      <c r="H32">
        <v>0.18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419</v>
      </c>
      <c r="B33" t="s">
        <v>394</v>
      </c>
      <c r="C33" t="s">
        <v>173</v>
      </c>
      <c r="D33" t="s">
        <v>173</v>
      </c>
      <c r="E33" t="s">
        <v>419</v>
      </c>
      <c r="F33" t="s">
        <v>172</v>
      </c>
      <c r="G33" t="s">
        <v>420</v>
      </c>
      <c r="H33">
        <v>0.18</v>
      </c>
      <c r="I33">
        <v>0</v>
      </c>
      <c r="J33">
        <v>0</v>
      </c>
      <c r="K33">
        <v>0</v>
      </c>
      <c r="L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sheetData>
    <row r="1" spans="1:8" x14ac:dyDescent="0.25">
      <c r="A1" t="s">
        <v>0</v>
      </c>
      <c r="B1" t="s">
        <v>12</v>
      </c>
      <c r="C1" t="s">
        <v>413</v>
      </c>
      <c r="D1" t="s">
        <v>9</v>
      </c>
      <c r="E1" t="s">
        <v>46</v>
      </c>
      <c r="F1" t="s">
        <v>48</v>
      </c>
      <c r="G1" t="s">
        <v>49</v>
      </c>
      <c r="H1" t="s">
        <v>50</v>
      </c>
    </row>
    <row r="2" spans="1:8" x14ac:dyDescent="0.25">
      <c r="A2" t="s">
        <v>102</v>
      </c>
      <c r="B2" t="s">
        <v>421</v>
      </c>
      <c r="C2">
        <v>0.18</v>
      </c>
      <c r="D2">
        <v>1</v>
      </c>
      <c r="E2">
        <v>225.69</v>
      </c>
      <c r="F2">
        <v>0</v>
      </c>
      <c r="G2">
        <v>0</v>
      </c>
      <c r="H2">
        <v>40.624199999999995</v>
      </c>
    </row>
    <row r="3" spans="1:8" x14ac:dyDescent="0.25">
      <c r="A3" t="s">
        <v>128</v>
      </c>
      <c r="B3" t="s">
        <v>422</v>
      </c>
      <c r="C3">
        <v>0.18</v>
      </c>
      <c r="D3">
        <v>6</v>
      </c>
      <c r="E3">
        <v>2407.63</v>
      </c>
      <c r="F3">
        <v>0</v>
      </c>
      <c r="G3">
        <v>0</v>
      </c>
      <c r="H3">
        <v>433.3734</v>
      </c>
    </row>
    <row r="4" spans="1:8" x14ac:dyDescent="0.25">
      <c r="A4" t="s">
        <v>128</v>
      </c>
      <c r="B4" t="s">
        <v>423</v>
      </c>
      <c r="C4">
        <v>0.18</v>
      </c>
      <c r="D4">
        <v>3</v>
      </c>
      <c r="E4">
        <v>533.58</v>
      </c>
      <c r="F4">
        <v>0</v>
      </c>
      <c r="G4">
        <v>0</v>
      </c>
      <c r="H4">
        <v>96.0444</v>
      </c>
    </row>
    <row r="5" spans="1:8" x14ac:dyDescent="0.25">
      <c r="A5" t="s">
        <v>128</v>
      </c>
      <c r="B5" t="s">
        <v>421</v>
      </c>
      <c r="C5">
        <v>0.18</v>
      </c>
      <c r="D5">
        <v>1</v>
      </c>
      <c r="E5">
        <v>225.69</v>
      </c>
      <c r="F5">
        <v>0</v>
      </c>
      <c r="G5">
        <v>0</v>
      </c>
      <c r="H5">
        <v>0</v>
      </c>
    </row>
    <row r="6" spans="1:8" x14ac:dyDescent="0.25">
      <c r="A6" t="s">
        <v>128</v>
      </c>
      <c r="B6" t="s">
        <v>424</v>
      </c>
      <c r="C6">
        <v>0.18</v>
      </c>
      <c r="D6">
        <v>8</v>
      </c>
      <c r="E6">
        <v>3293.83</v>
      </c>
      <c r="F6">
        <v>0</v>
      </c>
      <c r="G6">
        <v>0</v>
      </c>
      <c r="H6">
        <v>592.8894</v>
      </c>
    </row>
    <row r="7" spans="1:8" x14ac:dyDescent="0.25">
      <c r="A7" t="s">
        <v>128</v>
      </c>
      <c r="B7" t="s">
        <v>425</v>
      </c>
      <c r="C7">
        <v>0.18</v>
      </c>
      <c r="D7">
        <v>22</v>
      </c>
      <c r="E7">
        <v>5112.68</v>
      </c>
      <c r="F7">
        <v>0</v>
      </c>
      <c r="G7">
        <v>0</v>
      </c>
      <c r="H7">
        <v>418.32</v>
      </c>
    </row>
    <row r="8" spans="1:8" x14ac:dyDescent="0.25">
      <c r="A8" t="s">
        <v>128</v>
      </c>
      <c r="B8" t="s">
        <v>426</v>
      </c>
      <c r="C8">
        <v>0.18</v>
      </c>
      <c r="D8">
        <v>12</v>
      </c>
      <c r="E8">
        <v>3120.96</v>
      </c>
      <c r="F8">
        <v>0</v>
      </c>
      <c r="G8">
        <v>0</v>
      </c>
      <c r="H8">
        <v>0</v>
      </c>
    </row>
    <row r="9" spans="1:8" x14ac:dyDescent="0.25">
      <c r="A9" t="s">
        <v>128</v>
      </c>
      <c r="B9" t="s">
        <v>427</v>
      </c>
      <c r="C9">
        <v>0.18</v>
      </c>
      <c r="D9">
        <v>3</v>
      </c>
      <c r="E9">
        <v>620.86</v>
      </c>
      <c r="F9">
        <v>0</v>
      </c>
      <c r="G9">
        <v>0</v>
      </c>
      <c r="H9">
        <v>111.7548</v>
      </c>
    </row>
    <row r="10" spans="1:8" x14ac:dyDescent="0.25">
      <c r="A10" t="s">
        <v>128</v>
      </c>
      <c r="B10" t="s">
        <v>428</v>
      </c>
      <c r="C10">
        <v>0.18</v>
      </c>
      <c r="D10">
        <v>1</v>
      </c>
      <c r="E10">
        <v>754.25</v>
      </c>
      <c r="F10">
        <v>0</v>
      </c>
      <c r="G10">
        <v>0</v>
      </c>
      <c r="H10">
        <v>135.765</v>
      </c>
    </row>
    <row r="11" spans="1:8" x14ac:dyDescent="0.25">
      <c r="A11" t="s">
        <v>128</v>
      </c>
      <c r="B11" t="s">
        <v>429</v>
      </c>
      <c r="C11">
        <v>0.18</v>
      </c>
      <c r="D11">
        <v>4</v>
      </c>
      <c r="E11">
        <v>2849.17</v>
      </c>
      <c r="F11">
        <v>0</v>
      </c>
      <c r="G11">
        <v>0</v>
      </c>
      <c r="H11">
        <v>512.8506</v>
      </c>
    </row>
    <row r="12" spans="1:8" x14ac:dyDescent="0.25">
      <c r="A12" t="s">
        <v>128</v>
      </c>
      <c r="B12" t="s">
        <v>430</v>
      </c>
      <c r="C12">
        <v>0.18</v>
      </c>
      <c r="D12">
        <v>1</v>
      </c>
      <c r="E12">
        <v>931.36</v>
      </c>
      <c r="F12">
        <v>0</v>
      </c>
      <c r="G12">
        <v>0</v>
      </c>
      <c r="H12">
        <v>167.6448</v>
      </c>
    </row>
    <row r="13" spans="1:8" x14ac:dyDescent="0.25">
      <c r="A13" t="s">
        <v>373</v>
      </c>
      <c r="B13" t="s">
        <v>431</v>
      </c>
      <c r="C13">
        <v>0.18</v>
      </c>
      <c r="D13">
        <v>6</v>
      </c>
      <c r="E13">
        <v>1736.7</v>
      </c>
      <c r="F13">
        <v>0</v>
      </c>
      <c r="G13">
        <v>0</v>
      </c>
      <c r="H13">
        <v>312.606</v>
      </c>
    </row>
    <row r="14" spans="1:8" x14ac:dyDescent="0.25">
      <c r="A14" t="s">
        <v>385</v>
      </c>
      <c r="B14" t="s">
        <v>421</v>
      </c>
      <c r="C14">
        <v>0.18</v>
      </c>
      <c r="D14">
        <v>1</v>
      </c>
      <c r="E14">
        <v>225.69</v>
      </c>
      <c r="F14">
        <v>20.312099999999997</v>
      </c>
      <c r="G14">
        <v>20.312099999999997</v>
      </c>
      <c r="H14">
        <v>0</v>
      </c>
    </row>
    <row r="15" spans="1:8" x14ac:dyDescent="0.25">
      <c r="A15" t="s">
        <v>394</v>
      </c>
      <c r="B15" t="s">
        <v>421</v>
      </c>
      <c r="C15">
        <v>0.18</v>
      </c>
      <c r="D15">
        <v>1</v>
      </c>
      <c r="E15">
        <v>225.69</v>
      </c>
      <c r="F15">
        <v>20.312099999999997</v>
      </c>
      <c r="G15">
        <v>20.312099999999997</v>
      </c>
      <c r="H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updated raw sheet</vt:lpstr>
      <vt:lpstr>amazon-b2b-pivot</vt:lpstr>
      <vt:lpstr>amazon-b2b-tally-ready</vt:lpstr>
      <vt:lpstr>amazon-b2b-shipping-tally-ready</vt:lpstr>
      <vt:lpstr>amazon-b2b-gstr-hsn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2026-06-02T07:29:27Z</dcterms:created>
  <dcterms:modified xsi:type="dcterms:W3CDTF">2026-06-02T07:29:27Z</dcterms:modified>
</cp:coreProperties>
</file>