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pdated raw sheet" state="visible" r:id="rId4"/>
    <sheet sheetId="2" name="amazon-b2b-pivot" state="visible" r:id="rId5"/>
    <sheet sheetId="3" name="amazon-b2b-tally-ready" state="visible" r:id="rId6"/>
    <sheet sheetId="4" name="amazon-b2b-shipping-tally-ready" state="visible" r:id="rId7"/>
    <sheet sheetId="5" name="amazon-b2b-gstr-hsn" state="visible" r:id="rId8"/>
  </sheets>
  <calcPr calcId="171027"/>
</workbook>
</file>

<file path=xl/sharedStrings.xml><?xml version="1.0" encoding="utf-8"?>
<sst xmlns="http://schemas.openxmlformats.org/spreadsheetml/2006/main" count="1340" uniqueCount="355">
  <si>
    <t>Seller Gstin</t>
  </si>
  <si>
    <t>Invoice Number</t>
  </si>
  <si>
    <t>Invoice Date</t>
  </si>
  <si>
    <t>Transaction Type</t>
  </si>
  <si>
    <t>Order Id</t>
  </si>
  <si>
    <t>Shipment Id</t>
  </si>
  <si>
    <t>Shipment Date</t>
  </si>
  <si>
    <t>Order Date</t>
  </si>
  <si>
    <t>Shipment Item Id</t>
  </si>
  <si>
    <t>Quantity</t>
  </si>
  <si>
    <t>Item Description</t>
  </si>
  <si>
    <t>Asin</t>
  </si>
  <si>
    <t>Hsn/sac</t>
  </si>
  <si>
    <t>Sku</t>
  </si>
  <si>
    <t>FG</t>
  </si>
  <si>
    <t>Product Tax Code</t>
  </si>
  <si>
    <t>Bill From City</t>
  </si>
  <si>
    <t>Bill From State</t>
  </si>
  <si>
    <t>Bill From Country</t>
  </si>
  <si>
    <t>Bill From Postal Code</t>
  </si>
  <si>
    <t>Ship From City</t>
  </si>
  <si>
    <t>Ship From State</t>
  </si>
  <si>
    <t>Ship From Country</t>
  </si>
  <si>
    <t>Ship From Postal Code</t>
  </si>
  <si>
    <t>Ship To City</t>
  </si>
  <si>
    <t>Ship To State</t>
  </si>
  <si>
    <t>Ship To State Tally Ledger</t>
  </si>
  <si>
    <t>Final Invoice No.</t>
  </si>
  <si>
    <t>Ship To Country</t>
  </si>
  <si>
    <t>Ship To Postal Code</t>
  </si>
  <si>
    <t>Invoice Amount</t>
  </si>
  <si>
    <t>Tax Exclusive Gross</t>
  </si>
  <si>
    <t>Total Tax Amount</t>
  </si>
  <si>
    <t>Cgst Rate</t>
  </si>
  <si>
    <t>Sgst Rate</t>
  </si>
  <si>
    <t>Utgst Rate</t>
  </si>
  <si>
    <t>Igst Rate</t>
  </si>
  <si>
    <t>Compensatory Cess Rate</t>
  </si>
  <si>
    <t>Principal Amount</t>
  </si>
  <si>
    <t>Principal Amount Basis</t>
  </si>
  <si>
    <t>Cgst Tax</t>
  </si>
  <si>
    <t>Sgst Tax</t>
  </si>
  <si>
    <t>Utgst Tax</t>
  </si>
  <si>
    <t>Igst Tax</t>
  </si>
  <si>
    <t>Compensatory Cess Tax</t>
  </si>
  <si>
    <t>Final Tax rate</t>
  </si>
  <si>
    <t>Final Taxable Sales Value</t>
  </si>
  <si>
    <t>Final Taxable Shipping Value</t>
  </si>
  <si>
    <t>Final CGST Tax</t>
  </si>
  <si>
    <t>Final SGST Tax</t>
  </si>
  <si>
    <t>Final IGST Tax</t>
  </si>
  <si>
    <t>Final Shipping CGST Tax</t>
  </si>
  <si>
    <t>Final Shipping SGST Tax</t>
  </si>
  <si>
    <t>Final Shipping IGST Tax</t>
  </si>
  <si>
    <t>Final Amount Receivable</t>
  </si>
  <si>
    <t>Shipping Amount</t>
  </si>
  <si>
    <t>Shipping Amount Basis</t>
  </si>
  <si>
    <t>Shipping Cgst Tax</t>
  </si>
  <si>
    <t>Shipping Sgst Tax</t>
  </si>
  <si>
    <t>Shipping Utgst Tax</t>
  </si>
  <si>
    <t>Shipping Igst Tax</t>
  </si>
  <si>
    <t>Shipping Cess Tax</t>
  </si>
  <si>
    <t>Gift Wrap Amount</t>
  </si>
  <si>
    <t>Gift Wrap Amount Basis</t>
  </si>
  <si>
    <t>Gift Wrap Cgst Tax</t>
  </si>
  <si>
    <t>Gift Wrap Sgst Tax</t>
  </si>
  <si>
    <t>Gift Wrap Utgst Tax</t>
  </si>
  <si>
    <t>Gift Wrap Igst Tax</t>
  </si>
  <si>
    <t>Gift Wrap Compensatory Cess Tax</t>
  </si>
  <si>
    <t>Item Promo Discount</t>
  </si>
  <si>
    <t>Item Promo Discount Basis</t>
  </si>
  <si>
    <t>Item Promo Tax</t>
  </si>
  <si>
    <t>Shipping Promo Discount</t>
  </si>
  <si>
    <t>Shipping Promo Discount Basis</t>
  </si>
  <si>
    <t>Shipping Promo Tax</t>
  </si>
  <si>
    <t>Gift Wrap Promo Discount</t>
  </si>
  <si>
    <t>Gift Wrap Promo Discount Basis</t>
  </si>
  <si>
    <t>Gift Wrap Promo Tax</t>
  </si>
  <si>
    <t>Tcs Cgst Rate</t>
  </si>
  <si>
    <t>Tcs Cgst Amount</t>
  </si>
  <si>
    <t>Tcs Sgst Rate</t>
  </si>
  <si>
    <t>Tcs Sgst Amount</t>
  </si>
  <si>
    <t>Tcs Utgst Rate</t>
  </si>
  <si>
    <t>Tcs Utgst Amount</t>
  </si>
  <si>
    <t>Tcs Igst Rate</t>
  </si>
  <si>
    <t>Tcs Igst Amount</t>
  </si>
  <si>
    <t>Warehouse Id</t>
  </si>
  <si>
    <t>Fulfillment Channel</t>
  </si>
  <si>
    <t>Payment Method Code</t>
  </si>
  <si>
    <t>Bill To City</t>
  </si>
  <si>
    <t>Bill To State</t>
  </si>
  <si>
    <t>Bill To Country</t>
  </si>
  <si>
    <t>Bill To Postalcode</t>
  </si>
  <si>
    <t>Customer Bill To Gstid</t>
  </si>
  <si>
    <t>Customer Ship To Gstid</t>
  </si>
  <si>
    <t>Buyer Name</t>
  </si>
  <si>
    <t>Credit Note No</t>
  </si>
  <si>
    <t>Credit Note Date</t>
  </si>
  <si>
    <t>Irn Number</t>
  </si>
  <si>
    <t>Irn Filing Status</t>
  </si>
  <si>
    <t>Irn Date</t>
  </si>
  <si>
    <t>Irn Error Code</t>
  </si>
  <si>
    <t>07ABGCS4796R1Z8</t>
  </si>
  <si>
    <t>IN-7579</t>
  </si>
  <si>
    <t>Shipment</t>
  </si>
  <si>
    <t>403-6611807-5570725</t>
  </si>
  <si>
    <t>A087090825J1IP5TOHKU5</t>
  </si>
  <si>
    <t>Koparo Multi Use Appliance Descaler   Pack of 4 100g each   Suitable for Top Load   Front Load   Removes Limescale   Odour</t>
  </si>
  <si>
    <t>B0DCBPX3YP</t>
  </si>
  <si>
    <t>DESCALER-4</t>
  </si>
  <si>
    <t>FG Multi-Use Appliance Descaler - Pack of 4-100g each</t>
  </si>
  <si>
    <t>A_GEN_STANDARD</t>
  </si>
  <si>
    <t>NEW DELHI</t>
  </si>
  <si>
    <t>DELHI</t>
  </si>
  <si>
    <t>IN</t>
  </si>
  <si>
    <t>BENGALURU</t>
  </si>
  <si>
    <t>Amazon B2B Intra-State</t>
  </si>
  <si>
    <t>AMZ-INTRA-12</t>
  </si>
  <si>
    <t>MFN</t>
  </si>
  <si>
    <t>GC_PayStation</t>
  </si>
  <si>
    <t>KARNATAKA</t>
  </si>
  <si>
    <t>29AAKFH0708G1ZG</t>
  </si>
  <si>
    <t>Hotel worldtree</t>
  </si>
  <si>
    <t>9fc74e0328cabe0bf3688868cc4ecea3279c08d2de63c08183f8924972c41f60</t>
  </si>
  <si>
    <t>GOVT_ACCEPTED</t>
  </si>
  <si>
    <t>IN-7625</t>
  </si>
  <si>
    <t>405-9370821-5981144</t>
  </si>
  <si>
    <t>A08295243KH22U6CMUG30</t>
  </si>
  <si>
    <t>Koparo Natural Cellulose Based Sponge Wipe   Pack of 5   100  Bio degradable  Durable   Lint Free  Reusable and Washable   Kitchen Microwave Referiger</t>
  </si>
  <si>
    <t>B0BCMFTLDQ</t>
  </si>
  <si>
    <t>SW</t>
  </si>
  <si>
    <t>FG Sponge Wipes Pack of 5</t>
  </si>
  <si>
    <t>Cochin</t>
  </si>
  <si>
    <t>KERALA</t>
  </si>
  <si>
    <t>Amazon B2B Inter-State</t>
  </si>
  <si>
    <t>AMZ-INTER-12</t>
  </si>
  <si>
    <t>CC</t>
  </si>
  <si>
    <t>THIRUVANKULAM</t>
  </si>
  <si>
    <t>32AAICT5857F1Z7</t>
  </si>
  <si>
    <t>TECHTOREACH PRIVATE LIMITED</t>
  </si>
  <si>
    <t>ebe5e40be0581501dca270b8ce9fff8942a7bba7be6b4a353c9dcc5fb58f03dc</t>
  </si>
  <si>
    <t>IN-7697</t>
  </si>
  <si>
    <t>402-4830273-8984320</t>
  </si>
  <si>
    <t>A06893182SZSEG6NU1OHV</t>
  </si>
  <si>
    <t>Koparo Toilet Cleaner 800ml   Pack of 2   Removes Limescale   Provides Long Lasting Freshness   Plant Based   Non Toxic</t>
  </si>
  <si>
    <t>B0D4NGD87J</t>
  </si>
  <si>
    <t>TOILETCLEANER</t>
  </si>
  <si>
    <t>FG Toilet Cleaner 800 ml Pack of 2</t>
  </si>
  <si>
    <t>MUMBAI</t>
  </si>
  <si>
    <t>MAHARASHTRA</t>
  </si>
  <si>
    <t>27AAECW1617L1Z4</t>
  </si>
  <si>
    <t>Whyteedge Consulting Private Limited</t>
  </si>
  <si>
    <t>GOVT_REJECTED</t>
  </si>
  <si>
    <t>IN-7712</t>
  </si>
  <si>
    <t>404-2582479-3111517</t>
  </si>
  <si>
    <t>A05994883UIT15GIGBY49</t>
  </si>
  <si>
    <t>Koparo Natural Fabric Conditioner   Softener   5 Litres   Lavender   Organic  Top Load   Front Load   Protects Shine   Safe For Baby Clothes  Liquid</t>
  </si>
  <si>
    <t>B09MZ2LBXB</t>
  </si>
  <si>
    <t>FABCON-5L</t>
  </si>
  <si>
    <t>FG Fabric Conditioner 5 Litre Lavender</t>
  </si>
  <si>
    <t>PUNE</t>
  </si>
  <si>
    <t>27AADCP3238P1ZZ</t>
  </si>
  <si>
    <t xml:space="preserve">PMSoft Consultancy Pvt  Ltd </t>
  </si>
  <si>
    <t>IN-7846</t>
  </si>
  <si>
    <t>406-0474430-0863532</t>
  </si>
  <si>
    <t>A0544769DE06Z92OFFQI</t>
  </si>
  <si>
    <t>KALYAN</t>
  </si>
  <si>
    <t>PayStation</t>
  </si>
  <si>
    <t>27ABEFA8081G2ZC</t>
  </si>
  <si>
    <t>ASSETS REALITY</t>
  </si>
  <si>
    <t>3074;3029</t>
  </si>
  <si>
    <t>IN-7835</t>
  </si>
  <si>
    <t>408-2267991-3308323</t>
  </si>
  <si>
    <t>A0555409XFIGN68YK3G1</t>
  </si>
  <si>
    <t>CHIKKAMAGALURU</t>
  </si>
  <si>
    <t>29AAKCC0383M1Z7</t>
  </si>
  <si>
    <t>COFFEE ADDICT PRIVATE LIMITED</t>
  </si>
  <si>
    <t>8661017614ec8514641263e7996e1d5d803b3200e6908021268b9e23f5c08aa2</t>
  </si>
  <si>
    <t>IN-7871</t>
  </si>
  <si>
    <t>403-0968197-7739525</t>
  </si>
  <si>
    <t>A08832362QVD4MUFWKZN1</t>
  </si>
  <si>
    <t>Koparo Natural Disinfectant Floor Cleaner Liquid   3 Litres   Lime   Lemongrass   Tile   Marble Cleaner   Eco friendly  Organic   Non Toxic   Skin Saf</t>
  </si>
  <si>
    <t>B0D5N79SLL</t>
  </si>
  <si>
    <t>HB-LBSM-HP4K</t>
  </si>
  <si>
    <t>FG Floor Cleaner 3 Litre Lime &amp; Lemongrass</t>
  </si>
  <si>
    <t>MYSURU</t>
  </si>
  <si>
    <t>29AAJPU3960A1ZJ</t>
  </si>
  <si>
    <t>USHA BASAVAYA CHETTIYAR</t>
  </si>
  <si>
    <t>IN-7946</t>
  </si>
  <si>
    <t>171-7625208-7376332</t>
  </si>
  <si>
    <t>A00215681PAYTTMRCBD9P</t>
  </si>
  <si>
    <t>Koparo Natural Wood Cleaner   Conditioner Combo   1300ml   3 in 1 Clean  Condition   Protect Wooden Items   Plant Based   Non Toxic   Eco Friendly   K</t>
  </si>
  <si>
    <t>B0D776KC9M</t>
  </si>
  <si>
    <t>FRC-1300</t>
  </si>
  <si>
    <t>FG Combo Furniture Cleaner 1 ltr &amp; Furniture Cleaner 300 ML</t>
  </si>
  <si>
    <t>Mumbai</t>
  </si>
  <si>
    <t>27AAGFK5558B1ZD</t>
  </si>
  <si>
    <t>Kinerhs Collection</t>
  </si>
  <si>
    <t>ea79cb1c46104c85e05fc0d2029fc84ae1c09bb6d9313dce8f77aa3fdd8225d8</t>
  </si>
  <si>
    <t>IN-7950</t>
  </si>
  <si>
    <t>408-8054346-2222742</t>
  </si>
  <si>
    <t>A02437011BATJPUSYU6TS</t>
  </si>
  <si>
    <t xml:space="preserve">Koparo Natural Laundry Liquid Detergent   900 ml   Pack of 2   Top Load  Front Load Washing Machine   Hand Wash Friendly   Non Toxic   Eco friendly  </t>
  </si>
  <si>
    <t>B0B69FK5Q4</t>
  </si>
  <si>
    <t>LLQ-LAV-FC</t>
  </si>
  <si>
    <t>FG Laundry Liquid 900 ML Fresh cotton, lilly &amp; vanilla</t>
  </si>
  <si>
    <t>RAIPUR</t>
  </si>
  <si>
    <t>CHHATTISGARH</t>
  </si>
  <si>
    <t>22AFZPR4625N1ZN</t>
  </si>
  <si>
    <t>MAHESH CLOTH STORES</t>
  </si>
  <si>
    <t>IN-7955</t>
  </si>
  <si>
    <t>402-3991060-1757104</t>
  </si>
  <si>
    <t>A018002323T776YNI4QLA</t>
  </si>
  <si>
    <t>HYDERABAD</t>
  </si>
  <si>
    <t>TELANGANA</t>
  </si>
  <si>
    <t>Chennai</t>
  </si>
  <si>
    <t>TAMIL NADU</t>
  </si>
  <si>
    <t>33AADCH9248K1ZA</t>
  </si>
  <si>
    <t>Hankavalshier food products private limited</t>
  </si>
  <si>
    <t>IN-7958</t>
  </si>
  <si>
    <t>171-9790994-2978763</t>
  </si>
  <si>
    <t>A0807205TGADJ6H8YQCX</t>
  </si>
  <si>
    <t>KOLKATA</t>
  </si>
  <si>
    <t>WEST BENGAL</t>
  </si>
  <si>
    <t>19AACCB1530H1Z1</t>
  </si>
  <si>
    <t>SKCL CAPITAL PRIVATE LIMITED</t>
  </si>
  <si>
    <t>IN-7991</t>
  </si>
  <si>
    <t>406-5106494-4429129</t>
  </si>
  <si>
    <t>A056261628XZ7TNZ7GX75</t>
  </si>
  <si>
    <t>Koparo Natural Fabric Conditioner   Softener   850ml   Lavender Fragrance   Organic  Eco Friendly   Non Toxic   Top Load   Front Load   Protects Shine</t>
  </si>
  <si>
    <t>B093HFKP28</t>
  </si>
  <si>
    <t>KOPAROFABCON</t>
  </si>
  <si>
    <t>FG Fabric conditioner 850 ML Lavender</t>
  </si>
  <si>
    <t>Pune</t>
  </si>
  <si>
    <t>27ABIFR7109Q1ZG</t>
  </si>
  <si>
    <t>RAVIESHA TECH LLP</t>
  </si>
  <si>
    <t>b05455e2a0c156806e98ed8b4296d7fbd2ca56e28ba1074bd0d7ed3ab506e18e</t>
  </si>
  <si>
    <t>IN-8088</t>
  </si>
  <si>
    <t>402-9302392-9208300</t>
  </si>
  <si>
    <t>A09468343TIXDSXBRP5QN</t>
  </si>
  <si>
    <t>NB</t>
  </si>
  <si>
    <t>27AABCG7912M1ZB</t>
  </si>
  <si>
    <t>TRUSTCAP PVT LTD</t>
  </si>
  <si>
    <t>IN-8116</t>
  </si>
  <si>
    <t>402-5493902-4761143</t>
  </si>
  <si>
    <t>A05933201UQLFU3S7458U</t>
  </si>
  <si>
    <t>DHARAMPUR</t>
  </si>
  <si>
    <t>GUJARAT</t>
  </si>
  <si>
    <t>27AABPK6927B1ZY</t>
  </si>
  <si>
    <t>DHAVAL SUKETU KORADIA</t>
  </si>
  <si>
    <t>IN-8120</t>
  </si>
  <si>
    <t>405-3335967-6901163</t>
  </si>
  <si>
    <t>A0091095T0A8HMO7G402</t>
  </si>
  <si>
    <t>LONAVALA</t>
  </si>
  <si>
    <t>AAMBY VALLEY</t>
  </si>
  <si>
    <t>27BZXPC5474M1ZH</t>
  </si>
  <si>
    <t>CAPTANS STAY</t>
  </si>
  <si>
    <t>IN-8133</t>
  </si>
  <si>
    <t>405-3244297-9961127</t>
  </si>
  <si>
    <t>A00718242EDGAOTRQ56J6</t>
  </si>
  <si>
    <t>THANE</t>
  </si>
  <si>
    <t>27AANFP9504D1Z3</t>
  </si>
  <si>
    <t>PARAKH PROPERTIES</t>
  </si>
  <si>
    <t>IN-8160</t>
  </si>
  <si>
    <t>404-1974267-0904335</t>
  </si>
  <si>
    <t>A0532858996SWSL5ZO3B</t>
  </si>
  <si>
    <t>Koparo Natural Hand Wash Liquid   500ml   Aloe   Green Tea Fragrance   Ph Balanced Infused With Glycerin   Tea Tree Oil Germ Protection   Safe For All</t>
  </si>
  <si>
    <t>B09MG8X41Q</t>
  </si>
  <si>
    <t>HW-ALOE</t>
  </si>
  <si>
    <t>FG Handwash 500 ML Aloe &amp; Green tea</t>
  </si>
  <si>
    <t>Coimbatore</t>
  </si>
  <si>
    <t>29AAECJ2034L1ZG</t>
  </si>
  <si>
    <t>JUNGROO LEARNING PRIVATE LIMITED</t>
  </si>
  <si>
    <t>3e0b96b46eff4b369e7483906ede828928043d8d6b6607f67856c22d9469350f</t>
  </si>
  <si>
    <t>IN-8186</t>
  </si>
  <si>
    <t>403-1784038-3953123</t>
  </si>
  <si>
    <t>A01429122SSKP22VB03KO</t>
  </si>
  <si>
    <t>Bengaluru</t>
  </si>
  <si>
    <t>GOLAGHAT</t>
  </si>
  <si>
    <t>ASSAM</t>
  </si>
  <si>
    <t>18BYVPB7947M1ZF</t>
  </si>
  <si>
    <t>Sumit Bawri</t>
  </si>
  <si>
    <t>IN-8203</t>
  </si>
  <si>
    <t>403-5471537-6346764</t>
  </si>
  <si>
    <t>A01093289N70JQRZ6ZVR</t>
  </si>
  <si>
    <t>BELAGAVI</t>
  </si>
  <si>
    <t>29AQGPN1127K1ZO</t>
  </si>
  <si>
    <t>RAMLEELA FRANCHISE OF NETMEDS</t>
  </si>
  <si>
    <t>09ABGCS4796R1Z4</t>
  </si>
  <si>
    <t>LKO1-167</t>
  </si>
  <si>
    <t>403-4016308-2350739</t>
  </si>
  <si>
    <t>A07186792D5C92WUCPK1O</t>
  </si>
  <si>
    <t>Koparo Magic Eraser  Pack of 4    Multi Purpose and Durable Cleaning Sponge for Home  Bathroom  Office   Chemical Free  Anti Bacterial  Scratch Resist</t>
  </si>
  <si>
    <t>B0C37LG1LH</t>
  </si>
  <si>
    <t>MAGICERASER-4-FBA</t>
  </si>
  <si>
    <t>FG Magic Eraser Pack of 4</t>
  </si>
  <si>
    <t>Lucknow</t>
  </si>
  <si>
    <t>UTTAR PRADESH</t>
  </si>
  <si>
    <t>WARANGAL</t>
  </si>
  <si>
    <t>LKO1</t>
  </si>
  <si>
    <t>AFN</t>
  </si>
  <si>
    <t>COD</t>
  </si>
  <si>
    <t>36AYBPG1575B1ZW</t>
  </si>
  <si>
    <t>VenkateshwaraAgencies</t>
  </si>
  <si>
    <t>c6d8b08592b6e3bb1dd94c080714a868286cf943675086abe6a7a1f10642eea9</t>
  </si>
  <si>
    <t>24ABGCS4796R1ZC</t>
  </si>
  <si>
    <t>AMD2-311</t>
  </si>
  <si>
    <t>406-5976127-4436341</t>
  </si>
  <si>
    <t>A002354626PH2MV2XN4SY</t>
  </si>
  <si>
    <t>Ahmedabad</t>
  </si>
  <si>
    <t>AMD2</t>
  </si>
  <si>
    <t>AMD2-327</t>
  </si>
  <si>
    <t>406-2303695-8844340</t>
  </si>
  <si>
    <t>A033347715VG3H55YUA68</t>
  </si>
  <si>
    <t>GURUGRAM</t>
  </si>
  <si>
    <t>HARYANA</t>
  </si>
  <si>
    <t>06AKVPS0833J1ZN</t>
  </si>
  <si>
    <t>SHIVANGINI JAJORIA</t>
  </si>
  <si>
    <t>6cbb3e326ed681281131623f15995b0ca0b539ce05b587c91f863c0fdce76614</t>
  </si>
  <si>
    <t>33ABGCS4796R1ZD</t>
  </si>
  <si>
    <t>MAA4-130</t>
  </si>
  <si>
    <t>404-4840123-2484346</t>
  </si>
  <si>
    <t>A025542316ZXJ4JV93Y2W</t>
  </si>
  <si>
    <t xml:space="preserve">Koparo Silver Cleaner Liquid  300ml    Silver Dip Instant Silver Cleaner Liquid   Tarnish Remover   Silver Cleaning Liquid for Pooja Items  Utensils </t>
  </si>
  <si>
    <t>B0FNCX3WQJ</t>
  </si>
  <si>
    <t>SILVERCLEANER-FBA</t>
  </si>
  <si>
    <t>FG Silver Cleaner 300ml</t>
  </si>
  <si>
    <t>Thiruvalluvar</t>
  </si>
  <si>
    <t>MAA4</t>
  </si>
  <si>
    <t>27AACCL7897D2Z3</t>
  </si>
  <si>
    <t>LA MONNAIE SKILLS PRIVATE LIMITED</t>
  </si>
  <si>
    <t>Vch Date</t>
  </si>
  <si>
    <t>Vch Type</t>
  </si>
  <si>
    <t>Vch No.</t>
  </si>
  <si>
    <t>Ref No.</t>
  </si>
  <si>
    <t>Ref Date</t>
  </si>
  <si>
    <t>Party Ledger</t>
  </si>
  <si>
    <t>Sales Ledger</t>
  </si>
  <si>
    <t>Stock Item</t>
  </si>
  <si>
    <t>Rate</t>
  </si>
  <si>
    <t>Amount</t>
  </si>
  <si>
    <t>Rate Per Piece</t>
  </si>
  <si>
    <t>CGST 0.09</t>
  </si>
  <si>
    <t>SGST 0.09</t>
  </si>
  <si>
    <t>IGST 0.18</t>
  </si>
  <si>
    <t>31/12/25</t>
  </si>
  <si>
    <t>Ledger</t>
  </si>
  <si>
    <t>34022090</t>
  </si>
  <si>
    <t>39211400</t>
  </si>
  <si>
    <t/>
  </si>
  <si>
    <t>34029092</t>
  </si>
  <si>
    <t>34029099</t>
  </si>
  <si>
    <t>34013090</t>
  </si>
  <si>
    <t>39249090</t>
  </si>
  <si>
    <t>34059090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</si>
</sst>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25"/>
  <sheetFormatPr defaultRowHeight="15" outlineLevelRow="0" outlineLevelCol="0" x14ac:dyDescent="55"/>
  <cols>
    <col min="1" max="102" width="22" customWidth="1"/>
  </cols>
  <sheetData>
    <row r="1" spans="1:10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25">
      <c r="A2" t="s">
        <v>102</v>
      </c>
      <c r="B2" t="s">
        <v>103</v>
      </c>
      <c r="C2">
        <v>45992.924421296295</v>
      </c>
      <c r="D2" t="s">
        <v>104</v>
      </c>
      <c r="E2" t="s">
        <v>105</v>
      </c>
      <c r="F2" t="s">
        <v>106</v>
      </c>
      <c r="G2">
        <v>45993.58414351852</v>
      </c>
      <c r="H2">
        <v>45992.90497685185</v>
      </c>
      <c r="I2">
        <v>538731000000</v>
      </c>
      <c r="J2">
        <v>1</v>
      </c>
      <c r="K2" t="s">
        <v>107</v>
      </c>
      <c r="L2" t="s">
        <v>108</v>
      </c>
      <c r="M2">
        <v>34022090</v>
      </c>
      <c r="N2" t="s">
        <v>109</v>
      </c>
      <c r="O2" t="s">
        <v>110</v>
      </c>
      <c r="P2" t="s">
        <v>111</v>
      </c>
      <c r="Q2" t="s">
        <v>112</v>
      </c>
      <c r="R2" t="s">
        <v>113</v>
      </c>
      <c r="S2" t="s">
        <v>114</v>
      </c>
      <c r="T2">
        <v>110061</v>
      </c>
      <c r="U2" t="s">
        <v>112</v>
      </c>
      <c r="V2" t="s">
        <v>113</v>
      </c>
      <c r="W2" t="s">
        <v>114</v>
      </c>
      <c r="X2">
        <v>110061</v>
      </c>
      <c r="Y2" t="s">
        <v>115</v>
      </c>
      <c r="Z2" t="s">
        <v>113</v>
      </c>
      <c r="AA2" t="s">
        <v>116</v>
      </c>
      <c r="AB2" t="s">
        <v>117</v>
      </c>
      <c r="AC2" t="s">
        <v>114</v>
      </c>
      <c r="AD2">
        <v>560045</v>
      </c>
      <c r="AE2">
        <v>263.34</v>
      </c>
      <c r="AF2">
        <v>223.17</v>
      </c>
      <c r="AG2">
        <v>40.17</v>
      </c>
      <c r="AH2">
        <v>0</v>
      </c>
      <c r="AI2">
        <v>0</v>
      </c>
      <c r="AJ2">
        <v>0</v>
      </c>
      <c r="AK2">
        <v>0.18</v>
      </c>
      <c r="AL2">
        <v>0</v>
      </c>
      <c r="AM2">
        <v>263.34</v>
      </c>
      <c r="AN2">
        <v>223.17</v>
      </c>
      <c r="AO2">
        <v>0</v>
      </c>
      <c r="AP2">
        <v>0</v>
      </c>
      <c r="AQ2">
        <v>0</v>
      </c>
      <c r="AR2">
        <v>40.17</v>
      </c>
      <c r="AS2">
        <v>0</v>
      </c>
      <c r="AT2">
        <f>AH2+AI2+AK2</f>
      </c>
      <c r="AU2">
        <f>AF2-AV2</f>
      </c>
      <c r="AV2">
        <f>BE2+BL2+BY2+BV2</f>
      </c>
      <c r="AW2">
        <f>IF(V2=Z2,AU2*AH2,0)</f>
      </c>
      <c r="AX2">
        <f>IF(V2=Z2,AU2*AI2,0)</f>
      </c>
      <c r="AY2">
        <f>IF(V2&lt;&gt;Z2,AU2*AK2,0)</f>
      </c>
      <c r="AZ2">
        <f>IF(V2=Z2,AV2*AT2,0)</f>
      </c>
      <c r="BA2">
        <f>IF(V2=Z2,AV2*AT2,0)</f>
      </c>
      <c r="BB2">
        <f>IF(V2&lt;&gt;Z2,AV2*AT2,0)</f>
      </c>
      <c r="BC2">
        <f>AU2+AV2+AW2+AX2+AY2+AZ2+BA2+BB2-CB2-CD2-CH2</f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0.005</v>
      </c>
      <c r="CH2">
        <v>1.12</v>
      </c>
      <c r="CJ2" t="s">
        <v>118</v>
      </c>
      <c r="CK2" t="s">
        <v>119</v>
      </c>
      <c r="CL2" t="s">
        <v>115</v>
      </c>
      <c r="CM2" t="s">
        <v>120</v>
      </c>
      <c r="CN2" t="s">
        <v>114</v>
      </c>
      <c r="CO2">
        <v>560043</v>
      </c>
      <c r="CP2" t="s">
        <v>121</v>
      </c>
      <c r="CR2" t="s">
        <v>122</v>
      </c>
      <c r="CU2" t="s">
        <v>123</v>
      </c>
      <c r="CV2" t="s">
        <v>124</v>
      </c>
      <c r="CW2">
        <v>45992.69594907408</v>
      </c>
    </row>
    <row r="3" spans="1:102" x14ac:dyDescent="0.25">
      <c r="A3" t="s">
        <v>102</v>
      </c>
      <c r="B3" t="s">
        <v>125</v>
      </c>
      <c r="C3">
        <v>45994.63414351852</v>
      </c>
      <c r="D3" t="s">
        <v>104</v>
      </c>
      <c r="E3" t="s">
        <v>126</v>
      </c>
      <c r="F3" t="s">
        <v>127</v>
      </c>
      <c r="G3">
        <v>45995.48136574074</v>
      </c>
      <c r="H3">
        <v>45994.61678240741</v>
      </c>
      <c r="I3">
        <v>538526000000</v>
      </c>
      <c r="J3">
        <v>1</v>
      </c>
      <c r="K3" t="s">
        <v>128</v>
      </c>
      <c r="L3" t="s">
        <v>129</v>
      </c>
      <c r="M3">
        <v>39211400</v>
      </c>
      <c r="N3" t="s">
        <v>130</v>
      </c>
      <c r="O3" t="s">
        <v>131</v>
      </c>
      <c r="P3" t="s">
        <v>111</v>
      </c>
      <c r="Q3" t="s">
        <v>112</v>
      </c>
      <c r="R3" t="s">
        <v>113</v>
      </c>
      <c r="S3" t="s">
        <v>114</v>
      </c>
      <c r="T3">
        <v>110061</v>
      </c>
      <c r="U3" t="s">
        <v>112</v>
      </c>
      <c r="V3" t="s">
        <v>113</v>
      </c>
      <c r="W3" t="s">
        <v>114</v>
      </c>
      <c r="X3">
        <v>110061</v>
      </c>
      <c r="Y3" t="s">
        <v>132</v>
      </c>
      <c r="Z3" t="s">
        <v>133</v>
      </c>
      <c r="AA3" t="s">
        <v>134</v>
      </c>
      <c r="AB3" t="s">
        <v>135</v>
      </c>
      <c r="AC3" t="s">
        <v>114</v>
      </c>
      <c r="AD3">
        <v>682306</v>
      </c>
      <c r="AE3">
        <v>274.23</v>
      </c>
      <c r="AF3">
        <v>232.4</v>
      </c>
      <c r="AG3">
        <v>41.83</v>
      </c>
      <c r="AH3">
        <v>0</v>
      </c>
      <c r="AI3">
        <v>0</v>
      </c>
      <c r="AJ3">
        <v>0</v>
      </c>
      <c r="AK3">
        <v>0.18</v>
      </c>
      <c r="AL3">
        <v>0</v>
      </c>
      <c r="AM3">
        <v>274.23</v>
      </c>
      <c r="AN3">
        <v>232.4</v>
      </c>
      <c r="AO3">
        <v>0</v>
      </c>
      <c r="AP3">
        <v>0</v>
      </c>
      <c r="AQ3">
        <v>0</v>
      </c>
      <c r="AR3">
        <v>41.83</v>
      </c>
      <c r="AS3">
        <v>0</v>
      </c>
      <c r="AT3">
        <f>AH3+AI3+AK3</f>
      </c>
      <c r="AU3">
        <f>AF3-AV3</f>
      </c>
      <c r="AV3">
        <f>BE3+BL3+BY3+BV3</f>
      </c>
      <c r="AW3">
        <f>IF(V3=Z3,AU3*AH3,0)</f>
      </c>
      <c r="AX3">
        <f>IF(V3=Z3,AU3*AI3,0)</f>
      </c>
      <c r="AY3">
        <f>IF(V3&lt;&gt;Z3,AU3*AK3,0)</f>
      </c>
      <c r="AZ3">
        <f>IF(V3=Z3,AV3*AT3,0)</f>
      </c>
      <c r="BA3">
        <f>IF(V3=Z3,AV3*AT3,0)</f>
      </c>
      <c r="BB3">
        <f>IF(V3&lt;&gt;Z3,AV3*AT3,0)</f>
      </c>
      <c r="BC3">
        <f>AU3+AV3+AW3+AX3+AY3+AZ3+BA3+BB3-CB3-CD3-CH3</f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0.005</v>
      </c>
      <c r="CH3">
        <v>1.16</v>
      </c>
      <c r="CJ3" t="s">
        <v>118</v>
      </c>
      <c r="CK3" t="s">
        <v>136</v>
      </c>
      <c r="CL3" t="s">
        <v>137</v>
      </c>
      <c r="CM3" t="s">
        <v>133</v>
      </c>
      <c r="CN3" t="s">
        <v>114</v>
      </c>
      <c r="CO3">
        <v>682306</v>
      </c>
      <c r="CP3" t="s">
        <v>138</v>
      </c>
      <c r="CR3" t="s">
        <v>139</v>
      </c>
      <c r="CU3" t="s">
        <v>140</v>
      </c>
      <c r="CV3" t="s">
        <v>124</v>
      </c>
      <c r="CW3">
        <v>45994.4056712963</v>
      </c>
    </row>
    <row r="4" spans="1:102" x14ac:dyDescent="0.25">
      <c r="A4" t="s">
        <v>102</v>
      </c>
      <c r="B4" t="s">
        <v>141</v>
      </c>
      <c r="C4">
        <v>45996.514699074076</v>
      </c>
      <c r="D4" t="s">
        <v>104</v>
      </c>
      <c r="E4" t="s">
        <v>142</v>
      </c>
      <c r="F4" t="s">
        <v>143</v>
      </c>
      <c r="G4">
        <v>45997.480671296296</v>
      </c>
      <c r="H4">
        <v>45996.49456018519</v>
      </c>
      <c r="I4">
        <v>540051000000</v>
      </c>
      <c r="J4">
        <v>1</v>
      </c>
      <c r="K4" t="s">
        <v>144</v>
      </c>
      <c r="L4" t="s">
        <v>145</v>
      </c>
      <c r="N4" t="s">
        <v>146</v>
      </c>
      <c r="O4" t="s">
        <v>147</v>
      </c>
      <c r="P4" t="s">
        <v>111</v>
      </c>
      <c r="Q4" t="s">
        <v>112</v>
      </c>
      <c r="R4" t="s">
        <v>113</v>
      </c>
      <c r="S4" t="s">
        <v>114</v>
      </c>
      <c r="T4">
        <v>110061</v>
      </c>
      <c r="U4" t="s">
        <v>112</v>
      </c>
      <c r="V4" t="s">
        <v>113</v>
      </c>
      <c r="W4" t="s">
        <v>114</v>
      </c>
      <c r="X4">
        <v>110061</v>
      </c>
      <c r="Y4" t="s">
        <v>148</v>
      </c>
      <c r="Z4" t="s">
        <v>149</v>
      </c>
      <c r="AA4" t="s">
        <v>134</v>
      </c>
      <c r="AB4" t="s">
        <v>135</v>
      </c>
      <c r="AC4" t="s">
        <v>114</v>
      </c>
      <c r="AD4">
        <v>400072</v>
      </c>
      <c r="AE4">
        <v>212.85</v>
      </c>
      <c r="AF4">
        <v>180.38</v>
      </c>
      <c r="AG4">
        <v>32.47</v>
      </c>
      <c r="AH4">
        <v>0</v>
      </c>
      <c r="AI4">
        <v>0</v>
      </c>
      <c r="AJ4">
        <v>0</v>
      </c>
      <c r="AK4">
        <v>0.18</v>
      </c>
      <c r="AL4">
        <v>0</v>
      </c>
      <c r="AM4">
        <v>212.85</v>
      </c>
      <c r="AN4">
        <v>180.38</v>
      </c>
      <c r="AO4">
        <v>0</v>
      </c>
      <c r="AP4">
        <v>0</v>
      </c>
      <c r="AQ4">
        <v>0</v>
      </c>
      <c r="AR4">
        <v>32.47</v>
      </c>
      <c r="AS4">
        <v>0</v>
      </c>
      <c r="AT4">
        <f>AH4+AI4+AK4</f>
      </c>
      <c r="AU4">
        <f>AF4-AV4</f>
      </c>
      <c r="AV4">
        <f>BE4+BL4+BY4+BV4</f>
      </c>
      <c r="AW4">
        <f>IF(V4=Z4,AU4*AH4,0)</f>
      </c>
      <c r="AX4">
        <f>IF(V4=Z4,AU4*AI4,0)</f>
      </c>
      <c r="AY4">
        <f>IF(V4&lt;&gt;Z4,AU4*AK4,0)</f>
      </c>
      <c r="AZ4">
        <f>IF(V4=Z4,AV4*AT4,0)</f>
      </c>
      <c r="BA4">
        <f>IF(V4=Z4,AV4*AT4,0)</f>
      </c>
      <c r="BB4">
        <f>IF(V4&lt;&gt;Z4,AV4*AT4,0)</f>
      </c>
      <c r="BC4">
        <f>AU4+AV4+AW4+AX4+AY4+AZ4+BA4+BB4-CB4-CD4-CH4</f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0.005</v>
      </c>
      <c r="CH4">
        <v>0.9</v>
      </c>
      <c r="CJ4" t="s">
        <v>118</v>
      </c>
      <c r="CK4" t="s">
        <v>136</v>
      </c>
      <c r="CL4" t="s">
        <v>148</v>
      </c>
      <c r="CM4" t="s">
        <v>149</v>
      </c>
      <c r="CN4" t="s">
        <v>114</v>
      </c>
      <c r="CO4">
        <v>400072</v>
      </c>
      <c r="CP4" t="s">
        <v>150</v>
      </c>
      <c r="CR4" t="s">
        <v>151</v>
      </c>
      <c r="CV4" t="s">
        <v>152</v>
      </c>
      <c r="CX4">
        <v>5002</v>
      </c>
    </row>
    <row r="5" spans="1:102" x14ac:dyDescent="0.25">
      <c r="A5" t="s">
        <v>102</v>
      </c>
      <c r="B5" t="s">
        <v>153</v>
      </c>
      <c r="C5">
        <v>45997.46469907407</v>
      </c>
      <c r="D5" t="s">
        <v>104</v>
      </c>
      <c r="E5" t="s">
        <v>154</v>
      </c>
      <c r="F5" t="s">
        <v>155</v>
      </c>
      <c r="G5">
        <v>45997.64733796296</v>
      </c>
      <c r="H5">
        <v>45997.444560185184</v>
      </c>
      <c r="I5">
        <v>540066000000</v>
      </c>
      <c r="J5">
        <v>1</v>
      </c>
      <c r="K5" t="s">
        <v>156</v>
      </c>
      <c r="L5" t="s">
        <v>157</v>
      </c>
      <c r="N5" t="s">
        <v>158</v>
      </c>
      <c r="O5" t="s">
        <v>159</v>
      </c>
      <c r="P5" t="s">
        <v>111</v>
      </c>
      <c r="Q5" t="s">
        <v>112</v>
      </c>
      <c r="R5" t="s">
        <v>113</v>
      </c>
      <c r="S5" t="s">
        <v>114</v>
      </c>
      <c r="T5">
        <v>110061</v>
      </c>
      <c r="U5" t="s">
        <v>112</v>
      </c>
      <c r="V5" t="s">
        <v>113</v>
      </c>
      <c r="W5" t="s">
        <v>114</v>
      </c>
      <c r="X5">
        <v>110061</v>
      </c>
      <c r="Y5" t="s">
        <v>160</v>
      </c>
      <c r="Z5" t="s">
        <v>149</v>
      </c>
      <c r="AA5" t="s">
        <v>134</v>
      </c>
      <c r="AB5" t="s">
        <v>135</v>
      </c>
      <c r="AC5" t="s">
        <v>114</v>
      </c>
      <c r="AD5">
        <v>411052</v>
      </c>
      <c r="AE5">
        <v>1048.41</v>
      </c>
      <c r="AF5">
        <v>888.48</v>
      </c>
      <c r="AG5">
        <v>159.93</v>
      </c>
      <c r="AH5">
        <v>0</v>
      </c>
      <c r="AI5">
        <v>0</v>
      </c>
      <c r="AJ5">
        <v>0</v>
      </c>
      <c r="AK5">
        <v>0.18</v>
      </c>
      <c r="AL5">
        <v>0</v>
      </c>
      <c r="AM5">
        <v>1048.41</v>
      </c>
      <c r="AN5">
        <v>888.48</v>
      </c>
      <c r="AO5">
        <v>0</v>
      </c>
      <c r="AP5">
        <v>0</v>
      </c>
      <c r="AQ5">
        <v>0</v>
      </c>
      <c r="AR5">
        <v>159.93</v>
      </c>
      <c r="AS5">
        <v>0</v>
      </c>
      <c r="AT5">
        <f>AH5+AI5+AK5</f>
      </c>
      <c r="AU5">
        <f>AF5-AV5</f>
      </c>
      <c r="AV5">
        <f>BE5+BL5+BY5+BV5</f>
      </c>
      <c r="AW5">
        <f>IF(V5=Z5,AU5*AH5,0)</f>
      </c>
      <c r="AX5">
        <f>IF(V5=Z5,AU5*AI5,0)</f>
      </c>
      <c r="AY5">
        <f>IF(V5&lt;&gt;Z5,AU5*AK5,0)</f>
      </c>
      <c r="AZ5">
        <f>IF(V5=Z5,AV5*AT5,0)</f>
      </c>
      <c r="BA5">
        <f>IF(V5=Z5,AV5*AT5,0)</f>
      </c>
      <c r="BB5">
        <f>IF(V5&lt;&gt;Z5,AV5*AT5,0)</f>
      </c>
      <c r="BC5">
        <f>AU5+AV5+AW5+AX5+AY5+AZ5+BA5+BB5-CB5-CD5-CH5</f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0.005</v>
      </c>
      <c r="CH5">
        <v>4.44</v>
      </c>
      <c r="CJ5" t="s">
        <v>118</v>
      </c>
      <c r="CK5" t="s">
        <v>136</v>
      </c>
      <c r="CL5" t="s">
        <v>160</v>
      </c>
      <c r="CM5" t="s">
        <v>149</v>
      </c>
      <c r="CN5" t="s">
        <v>114</v>
      </c>
      <c r="CO5">
        <v>411052</v>
      </c>
      <c r="CP5" t="s">
        <v>161</v>
      </c>
      <c r="CR5" t="s">
        <v>162</v>
      </c>
      <c r="CV5" t="s">
        <v>152</v>
      </c>
      <c r="CX5">
        <v>5002</v>
      </c>
    </row>
    <row r="6" spans="1:102" x14ac:dyDescent="0.25">
      <c r="A6" t="s">
        <v>102</v>
      </c>
      <c r="B6" t="s">
        <v>163</v>
      </c>
      <c r="C6">
        <v>46001.691087962965</v>
      </c>
      <c r="D6" t="s">
        <v>104</v>
      </c>
      <c r="E6" t="s">
        <v>164</v>
      </c>
      <c r="F6" t="s">
        <v>165</v>
      </c>
      <c r="G6">
        <v>46002.52303240741</v>
      </c>
      <c r="H6">
        <v>46001.67303240741</v>
      </c>
      <c r="I6">
        <v>540854000000</v>
      </c>
      <c r="J6">
        <v>1</v>
      </c>
      <c r="K6" t="s">
        <v>128</v>
      </c>
      <c r="L6" t="s">
        <v>129</v>
      </c>
      <c r="M6">
        <v>39211400</v>
      </c>
      <c r="N6" t="s">
        <v>130</v>
      </c>
      <c r="O6" t="s">
        <v>131</v>
      </c>
      <c r="P6" t="s">
        <v>111</v>
      </c>
      <c r="Q6" t="s">
        <v>112</v>
      </c>
      <c r="R6" t="s">
        <v>113</v>
      </c>
      <c r="S6" t="s">
        <v>114</v>
      </c>
      <c r="T6">
        <v>110061</v>
      </c>
      <c r="U6" t="s">
        <v>112</v>
      </c>
      <c r="V6" t="s">
        <v>113</v>
      </c>
      <c r="W6" t="s">
        <v>114</v>
      </c>
      <c r="X6">
        <v>110061</v>
      </c>
      <c r="Y6" t="s">
        <v>166</v>
      </c>
      <c r="Z6" t="s">
        <v>149</v>
      </c>
      <c r="AA6" t="s">
        <v>134</v>
      </c>
      <c r="AB6" t="s">
        <v>135</v>
      </c>
      <c r="AC6" t="s">
        <v>114</v>
      </c>
      <c r="AD6">
        <v>421301</v>
      </c>
      <c r="AE6">
        <v>274.23</v>
      </c>
      <c r="AF6">
        <v>232.4</v>
      </c>
      <c r="AG6">
        <v>41.83</v>
      </c>
      <c r="AH6">
        <v>0</v>
      </c>
      <c r="AI6">
        <v>0</v>
      </c>
      <c r="AJ6">
        <v>0</v>
      </c>
      <c r="AK6">
        <v>0.18</v>
      </c>
      <c r="AL6">
        <v>0</v>
      </c>
      <c r="AM6">
        <v>274.23</v>
      </c>
      <c r="AN6">
        <v>232.4</v>
      </c>
      <c r="AO6">
        <v>0</v>
      </c>
      <c r="AP6">
        <v>0</v>
      </c>
      <c r="AQ6">
        <v>0</v>
      </c>
      <c r="AR6">
        <v>41.83</v>
      </c>
      <c r="AS6">
        <v>0</v>
      </c>
      <c r="AT6">
        <f>AH6+AI6+AK6</f>
      </c>
      <c r="AU6">
        <f>AF6-AV6</f>
      </c>
      <c r="AV6">
        <f>BE6+BL6+BY6+BV6</f>
      </c>
      <c r="AW6">
        <f>IF(V6=Z6,AU6*AH6,0)</f>
      </c>
      <c r="AX6">
        <f>IF(V6=Z6,AU6*AI6,0)</f>
      </c>
      <c r="AY6">
        <f>IF(V6&lt;&gt;Z6,AU6*AK6,0)</f>
      </c>
      <c r="AZ6">
        <f>IF(V6=Z6,AV6*AT6,0)</f>
      </c>
      <c r="BA6">
        <f>IF(V6=Z6,AV6*AT6,0)</f>
      </c>
      <c r="BB6">
        <f>IF(V6&lt;&gt;Z6,AV6*AT6,0)</f>
      </c>
      <c r="BC6">
        <f>AU6+AV6+AW6+AX6+AY6+AZ6+BA6+BB6-CB6-CD6-CH6</f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0.005</v>
      </c>
      <c r="CH6">
        <v>1.16</v>
      </c>
      <c r="CJ6" t="s">
        <v>118</v>
      </c>
      <c r="CK6" t="s">
        <v>167</v>
      </c>
      <c r="CL6" t="s">
        <v>166</v>
      </c>
      <c r="CM6" t="s">
        <v>149</v>
      </c>
      <c r="CN6" t="s">
        <v>114</v>
      </c>
      <c r="CO6">
        <v>421301</v>
      </c>
      <c r="CP6" t="s">
        <v>168</v>
      </c>
      <c r="CR6" t="s">
        <v>169</v>
      </c>
      <c r="CV6" t="s">
        <v>152</v>
      </c>
      <c r="CX6" t="s">
        <v>170</v>
      </c>
    </row>
    <row r="7" spans="1:102" x14ac:dyDescent="0.25">
      <c r="A7" t="s">
        <v>102</v>
      </c>
      <c r="B7" t="s">
        <v>171</v>
      </c>
      <c r="C7">
        <v>46001.46469907407</v>
      </c>
      <c r="D7" t="s">
        <v>104</v>
      </c>
      <c r="E7" t="s">
        <v>172</v>
      </c>
      <c r="F7" t="s">
        <v>173</v>
      </c>
      <c r="G7">
        <v>46002.52303240741</v>
      </c>
      <c r="H7">
        <v>46001.44525462963</v>
      </c>
      <c r="I7">
        <v>540745000000</v>
      </c>
      <c r="J7">
        <v>8</v>
      </c>
      <c r="K7" t="s">
        <v>128</v>
      </c>
      <c r="L7" t="s">
        <v>129</v>
      </c>
      <c r="M7">
        <v>39211400</v>
      </c>
      <c r="N7" t="s">
        <v>130</v>
      </c>
      <c r="O7" t="s">
        <v>131</v>
      </c>
      <c r="P7" t="s">
        <v>111</v>
      </c>
      <c r="Q7" t="s">
        <v>112</v>
      </c>
      <c r="R7" t="s">
        <v>113</v>
      </c>
      <c r="S7" t="s">
        <v>114</v>
      </c>
      <c r="T7">
        <v>110061</v>
      </c>
      <c r="U7" t="s">
        <v>112</v>
      </c>
      <c r="V7" t="s">
        <v>113</v>
      </c>
      <c r="W7" t="s">
        <v>114</v>
      </c>
      <c r="X7">
        <v>110061</v>
      </c>
      <c r="Y7" t="s">
        <v>174</v>
      </c>
      <c r="Z7" t="s">
        <v>120</v>
      </c>
      <c r="AA7" t="s">
        <v>134</v>
      </c>
      <c r="AB7" t="s">
        <v>135</v>
      </c>
      <c r="AC7" t="s">
        <v>114</v>
      </c>
      <c r="AD7">
        <v>577101</v>
      </c>
      <c r="AE7">
        <v>2193.84</v>
      </c>
      <c r="AF7">
        <v>1859.2</v>
      </c>
      <c r="AG7">
        <v>334.64</v>
      </c>
      <c r="AH7">
        <v>0</v>
      </c>
      <c r="AI7">
        <v>0</v>
      </c>
      <c r="AJ7">
        <v>0</v>
      </c>
      <c r="AK7">
        <v>0.18</v>
      </c>
      <c r="AL7">
        <v>0</v>
      </c>
      <c r="AM7">
        <v>2193.84</v>
      </c>
      <c r="AN7">
        <v>1859.2</v>
      </c>
      <c r="AO7">
        <v>0</v>
      </c>
      <c r="AP7">
        <v>0</v>
      </c>
      <c r="AQ7">
        <v>0</v>
      </c>
      <c r="AR7">
        <v>334.64</v>
      </c>
      <c r="AS7">
        <v>0</v>
      </c>
      <c r="AT7">
        <f>AH7+AI7+AK7</f>
      </c>
      <c r="AU7">
        <f>AF7-AV7</f>
      </c>
      <c r="AV7">
        <f>BE7+BL7+BY7+BV7</f>
      </c>
      <c r="AW7">
        <f>IF(V7=Z7,AU7*AH7,0)</f>
      </c>
      <c r="AX7">
        <f>IF(V7=Z7,AU7*AI7,0)</f>
      </c>
      <c r="AY7">
        <f>IF(V7&lt;&gt;Z7,AU7*AK7,0)</f>
      </c>
      <c r="AZ7">
        <f>IF(V7=Z7,AV7*AT7,0)</f>
      </c>
      <c r="BA7">
        <f>IF(V7=Z7,AV7*AT7,0)</f>
      </c>
      <c r="BB7">
        <f>IF(V7&lt;&gt;Z7,AV7*AT7,0)</f>
      </c>
      <c r="BC7">
        <f>AU7+AV7+AW7+AX7+AY7+AZ7+BA7+BB7-CB7-CD7-CH7</f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0.005</v>
      </c>
      <c r="CH7">
        <v>9.28</v>
      </c>
      <c r="CJ7" t="s">
        <v>118</v>
      </c>
      <c r="CK7" t="s">
        <v>136</v>
      </c>
      <c r="CL7" t="s">
        <v>174</v>
      </c>
      <c r="CM7" t="s">
        <v>120</v>
      </c>
      <c r="CN7" t="s">
        <v>114</v>
      </c>
      <c r="CO7">
        <v>577101</v>
      </c>
      <c r="CP7" t="s">
        <v>175</v>
      </c>
      <c r="CR7" t="s">
        <v>176</v>
      </c>
      <c r="CU7" t="s">
        <v>177</v>
      </c>
      <c r="CV7" t="s">
        <v>124</v>
      </c>
      <c r="CW7">
        <v>46001.236226851855</v>
      </c>
    </row>
    <row r="8" spans="1:102" x14ac:dyDescent="0.25">
      <c r="A8" t="s">
        <v>102</v>
      </c>
      <c r="B8" t="s">
        <v>178</v>
      </c>
      <c r="C8">
        <v>46002.58414351852</v>
      </c>
      <c r="D8" t="s">
        <v>104</v>
      </c>
      <c r="E8" t="s">
        <v>179</v>
      </c>
      <c r="F8" t="s">
        <v>180</v>
      </c>
      <c r="G8">
        <v>46003.52233796296</v>
      </c>
      <c r="H8">
        <v>46002.563310185185</v>
      </c>
      <c r="I8">
        <v>541300000000</v>
      </c>
      <c r="J8">
        <v>1</v>
      </c>
      <c r="K8" t="s">
        <v>181</v>
      </c>
      <c r="L8" t="s">
        <v>182</v>
      </c>
      <c r="N8" t="s">
        <v>183</v>
      </c>
      <c r="O8" t="s">
        <v>184</v>
      </c>
      <c r="P8" t="s">
        <v>111</v>
      </c>
      <c r="Q8" t="s">
        <v>112</v>
      </c>
      <c r="R8" t="s">
        <v>113</v>
      </c>
      <c r="S8" t="s">
        <v>114</v>
      </c>
      <c r="T8">
        <v>110061</v>
      </c>
      <c r="U8" t="s">
        <v>112</v>
      </c>
      <c r="V8" t="s">
        <v>113</v>
      </c>
      <c r="W8" t="s">
        <v>114</v>
      </c>
      <c r="X8">
        <v>110061</v>
      </c>
      <c r="Y8" t="s">
        <v>185</v>
      </c>
      <c r="Z8" t="s">
        <v>120</v>
      </c>
      <c r="AA8" t="s">
        <v>134</v>
      </c>
      <c r="AB8" t="s">
        <v>135</v>
      </c>
      <c r="AC8" t="s">
        <v>114</v>
      </c>
      <c r="AD8">
        <v>570017</v>
      </c>
      <c r="AE8">
        <v>528.66</v>
      </c>
      <c r="AF8">
        <v>448.02</v>
      </c>
      <c r="AG8">
        <v>80.64</v>
      </c>
      <c r="AH8">
        <v>0</v>
      </c>
      <c r="AI8">
        <v>0</v>
      </c>
      <c r="AJ8">
        <v>0</v>
      </c>
      <c r="AK8">
        <v>0.18</v>
      </c>
      <c r="AL8">
        <v>0</v>
      </c>
      <c r="AM8">
        <v>528.66</v>
      </c>
      <c r="AN8">
        <v>448.02</v>
      </c>
      <c r="AO8">
        <v>0</v>
      </c>
      <c r="AP8">
        <v>0</v>
      </c>
      <c r="AQ8">
        <v>0</v>
      </c>
      <c r="AR8">
        <v>80.64</v>
      </c>
      <c r="AS8">
        <v>0</v>
      </c>
      <c r="AT8">
        <f>AH8+AI8+AK8</f>
      </c>
      <c r="AU8">
        <f>AF8-AV8</f>
      </c>
      <c r="AV8">
        <f>BE8+BL8+BY8+BV8</f>
      </c>
      <c r="AW8">
        <f>IF(V8=Z8,AU8*AH8,0)</f>
      </c>
      <c r="AX8">
        <f>IF(V8=Z8,AU8*AI8,0)</f>
      </c>
      <c r="AY8">
        <f>IF(V8&lt;&gt;Z8,AU8*AK8,0)</f>
      </c>
      <c r="AZ8">
        <f>IF(V8=Z8,AV8*AT8,0)</f>
      </c>
      <c r="BA8">
        <f>IF(V8=Z8,AV8*AT8,0)</f>
      </c>
      <c r="BB8">
        <f>IF(V8&lt;&gt;Z8,AV8*AT8,0)</f>
      </c>
      <c r="BC8">
        <f>AU8+AV8+AW8+AX8+AY8+AZ8+BA8+BB8-CB8-CD8-CH8</f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0.005</v>
      </c>
      <c r="CH8">
        <v>2.24</v>
      </c>
      <c r="CJ8" t="s">
        <v>118</v>
      </c>
      <c r="CK8" t="s">
        <v>167</v>
      </c>
      <c r="CL8" t="s">
        <v>185</v>
      </c>
      <c r="CM8" t="s">
        <v>120</v>
      </c>
      <c r="CN8" t="s">
        <v>114</v>
      </c>
      <c r="CO8">
        <v>570017</v>
      </c>
      <c r="CP8" t="s">
        <v>186</v>
      </c>
      <c r="CR8" t="s">
        <v>187</v>
      </c>
      <c r="CV8" t="s">
        <v>152</v>
      </c>
      <c r="CX8">
        <v>5002</v>
      </c>
    </row>
    <row r="9" spans="1:102" x14ac:dyDescent="0.25">
      <c r="A9" t="s">
        <v>102</v>
      </c>
      <c r="B9" t="s">
        <v>188</v>
      </c>
      <c r="C9">
        <v>46006.93067129629</v>
      </c>
      <c r="D9" t="s">
        <v>104</v>
      </c>
      <c r="E9" t="s">
        <v>189</v>
      </c>
      <c r="F9" t="s">
        <v>190</v>
      </c>
      <c r="G9">
        <v>46007.52233796296</v>
      </c>
      <c r="H9">
        <v>46006.91122685185</v>
      </c>
      <c r="I9">
        <v>541542000000</v>
      </c>
      <c r="J9">
        <v>1</v>
      </c>
      <c r="K9" t="s">
        <v>191</v>
      </c>
      <c r="L9" t="s">
        <v>192</v>
      </c>
      <c r="M9">
        <v>34022090</v>
      </c>
      <c r="N9" t="s">
        <v>193</v>
      </c>
      <c r="O9" t="s">
        <v>194</v>
      </c>
      <c r="P9" t="s">
        <v>111</v>
      </c>
      <c r="Q9" t="s">
        <v>112</v>
      </c>
      <c r="R9" t="s">
        <v>113</v>
      </c>
      <c r="S9" t="s">
        <v>114</v>
      </c>
      <c r="T9">
        <v>110061</v>
      </c>
      <c r="U9" t="s">
        <v>112</v>
      </c>
      <c r="V9" t="s">
        <v>113</v>
      </c>
      <c r="W9" t="s">
        <v>114</v>
      </c>
      <c r="X9">
        <v>110061</v>
      </c>
      <c r="Y9" t="s">
        <v>160</v>
      </c>
      <c r="Z9" t="s">
        <v>149</v>
      </c>
      <c r="AA9" t="s">
        <v>134</v>
      </c>
      <c r="AB9" t="s">
        <v>135</v>
      </c>
      <c r="AC9" t="s">
        <v>114</v>
      </c>
      <c r="AD9">
        <v>411014</v>
      </c>
      <c r="AE9">
        <v>687.06</v>
      </c>
      <c r="AF9">
        <v>582.25</v>
      </c>
      <c r="AG9">
        <v>104.81</v>
      </c>
      <c r="AH9">
        <v>0</v>
      </c>
      <c r="AI9">
        <v>0</v>
      </c>
      <c r="AJ9">
        <v>0</v>
      </c>
      <c r="AK9">
        <v>0.18</v>
      </c>
      <c r="AL9">
        <v>0</v>
      </c>
      <c r="AM9">
        <v>687.06</v>
      </c>
      <c r="AN9">
        <v>582.25</v>
      </c>
      <c r="AO9">
        <v>0</v>
      </c>
      <c r="AP9">
        <v>0</v>
      </c>
      <c r="AQ9">
        <v>0</v>
      </c>
      <c r="AR9">
        <v>104.81</v>
      </c>
      <c r="AS9">
        <v>0</v>
      </c>
      <c r="AT9">
        <f>AH9+AI9+AK9</f>
      </c>
      <c r="AU9">
        <f>AF9-AV9</f>
      </c>
      <c r="AV9">
        <f>BE9+BL9+BY9+BV9</f>
      </c>
      <c r="AW9">
        <f>IF(V9=Z9,AU9*AH9,0)</f>
      </c>
      <c r="AX9">
        <f>IF(V9=Z9,AU9*AI9,0)</f>
      </c>
      <c r="AY9">
        <f>IF(V9&lt;&gt;Z9,AU9*AK9,0)</f>
      </c>
      <c r="AZ9">
        <f>IF(V9=Z9,AV9*AT9,0)</f>
      </c>
      <c r="BA9">
        <f>IF(V9=Z9,AV9*AT9,0)</f>
      </c>
      <c r="BB9">
        <f>IF(V9&lt;&gt;Z9,AV9*AT9,0)</f>
      </c>
      <c r="BC9">
        <f>AU9+AV9+AW9+AX9+AY9+AZ9+BA9+BB9-CB9-CD9-CH9</f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0.005</v>
      </c>
      <c r="CH9">
        <v>2.91</v>
      </c>
      <c r="CJ9" t="s">
        <v>118</v>
      </c>
      <c r="CK9" t="s">
        <v>136</v>
      </c>
      <c r="CL9" t="s">
        <v>195</v>
      </c>
      <c r="CM9" t="s">
        <v>149</v>
      </c>
      <c r="CN9" t="s">
        <v>114</v>
      </c>
      <c r="CO9">
        <v>400036</v>
      </c>
      <c r="CP9" t="s">
        <v>196</v>
      </c>
      <c r="CR9" t="s">
        <v>197</v>
      </c>
      <c r="CU9" t="s">
        <v>198</v>
      </c>
      <c r="CV9" t="s">
        <v>124</v>
      </c>
      <c r="CW9">
        <v>46006.702199074076</v>
      </c>
    </row>
    <row r="10" spans="1:102" x14ac:dyDescent="0.25">
      <c r="A10" t="s">
        <v>102</v>
      </c>
      <c r="B10" t="s">
        <v>199</v>
      </c>
      <c r="C10">
        <v>46007.03900462963</v>
      </c>
      <c r="D10" t="s">
        <v>104</v>
      </c>
      <c r="E10" t="s">
        <v>200</v>
      </c>
      <c r="F10" t="s">
        <v>201</v>
      </c>
      <c r="G10">
        <v>46007.52233796296</v>
      </c>
      <c r="H10">
        <v>46007.02233796296</v>
      </c>
      <c r="I10">
        <v>541376000000</v>
      </c>
      <c r="J10">
        <v>1</v>
      </c>
      <c r="K10" t="s">
        <v>202</v>
      </c>
      <c r="L10" t="s">
        <v>203</v>
      </c>
      <c r="M10">
        <v>34029092</v>
      </c>
      <c r="N10" t="s">
        <v>204</v>
      </c>
      <c r="O10" t="s">
        <v>205</v>
      </c>
      <c r="P10" t="s">
        <v>111</v>
      </c>
      <c r="Q10" t="s">
        <v>112</v>
      </c>
      <c r="R10" t="s">
        <v>113</v>
      </c>
      <c r="S10" t="s">
        <v>114</v>
      </c>
      <c r="T10">
        <v>110061</v>
      </c>
      <c r="U10" t="s">
        <v>112</v>
      </c>
      <c r="V10" t="s">
        <v>113</v>
      </c>
      <c r="W10" t="s">
        <v>114</v>
      </c>
      <c r="X10">
        <v>110061</v>
      </c>
      <c r="Y10" t="s">
        <v>206</v>
      </c>
      <c r="Z10" t="s">
        <v>207</v>
      </c>
      <c r="AA10" t="s">
        <v>134</v>
      </c>
      <c r="AB10" t="s">
        <v>135</v>
      </c>
      <c r="AC10" t="s">
        <v>114</v>
      </c>
      <c r="AD10">
        <v>492006</v>
      </c>
      <c r="AE10">
        <v>444.51</v>
      </c>
      <c r="AF10">
        <v>376.7</v>
      </c>
      <c r="AG10">
        <v>67.81</v>
      </c>
      <c r="AH10">
        <v>0</v>
      </c>
      <c r="AI10">
        <v>0</v>
      </c>
      <c r="AJ10">
        <v>0</v>
      </c>
      <c r="AK10">
        <v>0.18</v>
      </c>
      <c r="AL10">
        <v>0</v>
      </c>
      <c r="AM10">
        <v>444.51</v>
      </c>
      <c r="AN10">
        <v>376.7</v>
      </c>
      <c r="AO10">
        <v>0</v>
      </c>
      <c r="AP10">
        <v>0</v>
      </c>
      <c r="AQ10">
        <v>0</v>
      </c>
      <c r="AR10">
        <v>67.81</v>
      </c>
      <c r="AS10">
        <v>0</v>
      </c>
      <c r="AT10">
        <f>AH10+AI10+AK10</f>
      </c>
      <c r="AU10">
        <f>AF10-AV10</f>
      </c>
      <c r="AV10">
        <f>BE10+BL10+BY10+BV10</f>
      </c>
      <c r="AW10">
        <f>IF(V10=Z10,AU10*AH10,0)</f>
      </c>
      <c r="AX10">
        <f>IF(V10=Z10,AU10*AI10,0)</f>
      </c>
      <c r="AY10">
        <f>IF(V10&lt;&gt;Z10,AU10*AK10,0)</f>
      </c>
      <c r="AZ10">
        <f>IF(V10=Z10,AV10*AT10,0)</f>
      </c>
      <c r="BA10">
        <f>IF(V10=Z10,AV10*AT10,0)</f>
      </c>
      <c r="BB10">
        <f>IF(V10&lt;&gt;Z10,AV10*AT10,0)</f>
      </c>
      <c r="BC10">
        <f>AU10+AV10+AW10+AX10+AY10+AZ10+BA10+BB10-CB10-CD10-CH10</f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0.005</v>
      </c>
      <c r="CH10">
        <v>1.88</v>
      </c>
      <c r="CJ10" t="s">
        <v>118</v>
      </c>
      <c r="CK10" t="s">
        <v>136</v>
      </c>
      <c r="CL10" t="s">
        <v>206</v>
      </c>
      <c r="CM10" t="s">
        <v>207</v>
      </c>
      <c r="CN10" t="s">
        <v>114</v>
      </c>
      <c r="CO10">
        <v>492001</v>
      </c>
      <c r="CP10" t="s">
        <v>208</v>
      </c>
      <c r="CR10" t="s">
        <v>209</v>
      </c>
      <c r="CV10" t="s">
        <v>152</v>
      </c>
      <c r="CX10">
        <v>5002</v>
      </c>
    </row>
    <row r="11" spans="1:102" x14ac:dyDescent="0.25">
      <c r="A11" t="s">
        <v>102</v>
      </c>
      <c r="B11" t="s">
        <v>199</v>
      </c>
      <c r="C11">
        <v>46007.03900462963</v>
      </c>
      <c r="D11" t="s">
        <v>104</v>
      </c>
      <c r="E11" t="s">
        <v>200</v>
      </c>
      <c r="F11" t="s">
        <v>201</v>
      </c>
      <c r="G11">
        <v>46007.52233796296</v>
      </c>
      <c r="H11">
        <v>46007.02233796296</v>
      </c>
      <c r="I11">
        <v>541605000000</v>
      </c>
      <c r="J11">
        <v>1</v>
      </c>
      <c r="K11" t="s">
        <v>144</v>
      </c>
      <c r="L11" t="s">
        <v>145</v>
      </c>
      <c r="N11" t="s">
        <v>146</v>
      </c>
      <c r="O11" t="s">
        <v>147</v>
      </c>
      <c r="P11" t="s">
        <v>111</v>
      </c>
      <c r="Q11" t="s">
        <v>112</v>
      </c>
      <c r="R11" t="s">
        <v>113</v>
      </c>
      <c r="S11" t="s">
        <v>114</v>
      </c>
      <c r="T11">
        <v>110061</v>
      </c>
      <c r="U11" t="s">
        <v>112</v>
      </c>
      <c r="V11" t="s">
        <v>113</v>
      </c>
      <c r="W11" t="s">
        <v>114</v>
      </c>
      <c r="X11">
        <v>110061</v>
      </c>
      <c r="Y11" t="s">
        <v>206</v>
      </c>
      <c r="Z11" t="s">
        <v>207</v>
      </c>
      <c r="AA11" t="s">
        <v>134</v>
      </c>
      <c r="AB11" t="s">
        <v>135</v>
      </c>
      <c r="AC11" t="s">
        <v>114</v>
      </c>
      <c r="AD11">
        <v>492006</v>
      </c>
      <c r="AE11">
        <v>212.85</v>
      </c>
      <c r="AF11">
        <v>180.38</v>
      </c>
      <c r="AG11">
        <v>32.47</v>
      </c>
      <c r="AH11">
        <v>0</v>
      </c>
      <c r="AI11">
        <v>0</v>
      </c>
      <c r="AJ11">
        <v>0</v>
      </c>
      <c r="AK11">
        <v>0.18</v>
      </c>
      <c r="AL11">
        <v>0</v>
      </c>
      <c r="AM11">
        <v>212.85</v>
      </c>
      <c r="AN11">
        <v>180.38</v>
      </c>
      <c r="AO11">
        <v>0</v>
      </c>
      <c r="AP11">
        <v>0</v>
      </c>
      <c r="AQ11">
        <v>0</v>
      </c>
      <c r="AR11">
        <v>32.47</v>
      </c>
      <c r="AS11">
        <v>0</v>
      </c>
      <c r="AT11">
        <f>AH11+AI11+AK11</f>
      </c>
      <c r="AU11">
        <f>AF11-AV11</f>
      </c>
      <c r="AV11">
        <f>BE11+BL11+BY11+BV11</f>
      </c>
      <c r="AW11">
        <f>IF(V11=Z11,AU11*AH11,0)</f>
      </c>
      <c r="AX11">
        <f>IF(V11=Z11,AU11*AI11,0)</f>
      </c>
      <c r="AY11">
        <f>IF(V11&lt;&gt;Z11,AU11*AK11,0)</f>
      </c>
      <c r="AZ11">
        <f>IF(V11=Z11,AV11*AT11,0)</f>
      </c>
      <c r="BA11">
        <f>IF(V11=Z11,AV11*AT11,0)</f>
      </c>
      <c r="BB11">
        <f>IF(V11&lt;&gt;Z11,AV11*AT11,0)</f>
      </c>
      <c r="BC11">
        <f>AU11+AV11+AW11+AX11+AY11+AZ11+BA11+BB11-CB11-CD11-CH11</f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0.005</v>
      </c>
      <c r="CH11">
        <v>0.9</v>
      </c>
      <c r="CJ11" t="s">
        <v>118</v>
      </c>
      <c r="CK11" t="s">
        <v>136</v>
      </c>
      <c r="CL11" t="s">
        <v>206</v>
      </c>
      <c r="CM11" t="s">
        <v>207</v>
      </c>
      <c r="CN11" t="s">
        <v>114</v>
      </c>
      <c r="CO11">
        <v>492001</v>
      </c>
      <c r="CP11" t="s">
        <v>208</v>
      </c>
      <c r="CR11" t="s">
        <v>209</v>
      </c>
      <c r="CV11" t="s">
        <v>152</v>
      </c>
      <c r="CX11">
        <v>5002</v>
      </c>
    </row>
    <row r="12" spans="1:102" x14ac:dyDescent="0.25">
      <c r="A12" t="s">
        <v>102</v>
      </c>
      <c r="B12" t="s">
        <v>210</v>
      </c>
      <c r="C12">
        <v>46007.46261574074</v>
      </c>
      <c r="D12" t="s">
        <v>104</v>
      </c>
      <c r="E12" t="s">
        <v>211</v>
      </c>
      <c r="F12" t="s">
        <v>212</v>
      </c>
      <c r="G12">
        <v>46008.52303240741</v>
      </c>
      <c r="H12">
        <v>46007.44247685185</v>
      </c>
      <c r="I12">
        <v>541464000000</v>
      </c>
      <c r="J12">
        <v>1</v>
      </c>
      <c r="K12" t="s">
        <v>156</v>
      </c>
      <c r="L12" t="s">
        <v>157</v>
      </c>
      <c r="N12" t="s">
        <v>158</v>
      </c>
      <c r="O12" t="s">
        <v>159</v>
      </c>
      <c r="P12" t="s">
        <v>111</v>
      </c>
      <c r="Q12" t="s">
        <v>112</v>
      </c>
      <c r="R12" t="s">
        <v>113</v>
      </c>
      <c r="S12" t="s">
        <v>114</v>
      </c>
      <c r="T12">
        <v>110061</v>
      </c>
      <c r="U12" t="s">
        <v>112</v>
      </c>
      <c r="V12" t="s">
        <v>113</v>
      </c>
      <c r="W12" t="s">
        <v>114</v>
      </c>
      <c r="X12">
        <v>110061</v>
      </c>
      <c r="Y12" t="s">
        <v>213</v>
      </c>
      <c r="Z12" t="s">
        <v>214</v>
      </c>
      <c r="AA12" t="s">
        <v>134</v>
      </c>
      <c r="AB12" t="s">
        <v>135</v>
      </c>
      <c r="AC12" t="s">
        <v>114</v>
      </c>
      <c r="AD12">
        <v>501203</v>
      </c>
      <c r="AE12">
        <v>1048.41</v>
      </c>
      <c r="AF12">
        <v>888.48</v>
      </c>
      <c r="AG12">
        <v>159.93</v>
      </c>
      <c r="AH12">
        <v>0</v>
      </c>
      <c r="AI12">
        <v>0</v>
      </c>
      <c r="AJ12">
        <v>0</v>
      </c>
      <c r="AK12">
        <v>0.18</v>
      </c>
      <c r="AL12">
        <v>0</v>
      </c>
      <c r="AM12">
        <v>1048.41</v>
      </c>
      <c r="AN12">
        <v>888.48</v>
      </c>
      <c r="AO12">
        <v>0</v>
      </c>
      <c r="AP12">
        <v>0</v>
      </c>
      <c r="AQ12">
        <v>0</v>
      </c>
      <c r="AR12">
        <v>159.93</v>
      </c>
      <c r="AS12">
        <v>0</v>
      </c>
      <c r="AT12">
        <f>AH12+AI12+AK12</f>
      </c>
      <c r="AU12">
        <f>AF12-AV12</f>
      </c>
      <c r="AV12">
        <f>BE12+BL12+BY12+BV12</f>
      </c>
      <c r="AW12">
        <f>IF(V12=Z12,AU12*AH12,0)</f>
      </c>
      <c r="AX12">
        <f>IF(V12=Z12,AU12*AI12,0)</f>
      </c>
      <c r="AY12">
        <f>IF(V12&lt;&gt;Z12,AU12*AK12,0)</f>
      </c>
      <c r="AZ12">
        <f>IF(V12=Z12,AV12*AT12,0)</f>
      </c>
      <c r="BA12">
        <f>IF(V12=Z12,AV12*AT12,0)</f>
      </c>
      <c r="BB12">
        <f>IF(V12&lt;&gt;Z12,AV12*AT12,0)</f>
      </c>
      <c r="BC12">
        <f>AU12+AV12+AW12+AX12+AY12+AZ12+BA12+BB12-CB12-CD12-CH12</f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0.005</v>
      </c>
      <c r="CH12">
        <v>4.44</v>
      </c>
      <c r="CJ12" t="s">
        <v>118</v>
      </c>
      <c r="CK12" t="s">
        <v>167</v>
      </c>
      <c r="CL12" t="s">
        <v>215</v>
      </c>
      <c r="CM12" t="s">
        <v>216</v>
      </c>
      <c r="CN12" t="s">
        <v>114</v>
      </c>
      <c r="CO12">
        <v>600063</v>
      </c>
      <c r="CP12" t="s">
        <v>217</v>
      </c>
      <c r="CR12" t="s">
        <v>218</v>
      </c>
      <c r="CV12" t="s">
        <v>152</v>
      </c>
      <c r="CX12">
        <v>5002</v>
      </c>
    </row>
    <row r="13" spans="1:102" x14ac:dyDescent="0.25">
      <c r="A13" t="s">
        <v>102</v>
      </c>
      <c r="B13" t="s">
        <v>219</v>
      </c>
      <c r="C13">
        <v>46007.72164351852</v>
      </c>
      <c r="D13" t="s">
        <v>104</v>
      </c>
      <c r="E13" t="s">
        <v>220</v>
      </c>
      <c r="F13" t="s">
        <v>221</v>
      </c>
      <c r="G13">
        <v>46008.52303240741</v>
      </c>
      <c r="H13">
        <v>46007.70150462963</v>
      </c>
      <c r="I13">
        <v>541369000000</v>
      </c>
      <c r="J13">
        <v>1</v>
      </c>
      <c r="K13" t="s">
        <v>144</v>
      </c>
      <c r="L13" t="s">
        <v>145</v>
      </c>
      <c r="N13" t="s">
        <v>146</v>
      </c>
      <c r="O13" t="s">
        <v>147</v>
      </c>
      <c r="P13" t="s">
        <v>111</v>
      </c>
      <c r="Q13" t="s">
        <v>112</v>
      </c>
      <c r="R13" t="s">
        <v>113</v>
      </c>
      <c r="S13" t="s">
        <v>114</v>
      </c>
      <c r="T13">
        <v>110061</v>
      </c>
      <c r="U13" t="s">
        <v>112</v>
      </c>
      <c r="V13" t="s">
        <v>113</v>
      </c>
      <c r="W13" t="s">
        <v>114</v>
      </c>
      <c r="X13">
        <v>110061</v>
      </c>
      <c r="Y13" t="s">
        <v>222</v>
      </c>
      <c r="Z13" t="s">
        <v>223</v>
      </c>
      <c r="AA13" t="s">
        <v>134</v>
      </c>
      <c r="AB13" t="s">
        <v>135</v>
      </c>
      <c r="AC13" t="s">
        <v>114</v>
      </c>
      <c r="AD13">
        <v>700156</v>
      </c>
      <c r="AE13">
        <v>212.85</v>
      </c>
      <c r="AF13">
        <v>180.38</v>
      </c>
      <c r="AG13">
        <v>32.47</v>
      </c>
      <c r="AH13">
        <v>0</v>
      </c>
      <c r="AI13">
        <v>0</v>
      </c>
      <c r="AJ13">
        <v>0</v>
      </c>
      <c r="AK13">
        <v>0.18</v>
      </c>
      <c r="AL13">
        <v>0</v>
      </c>
      <c r="AM13">
        <v>212.85</v>
      </c>
      <c r="AN13">
        <v>180.38</v>
      </c>
      <c r="AO13">
        <v>0</v>
      </c>
      <c r="AP13">
        <v>0</v>
      </c>
      <c r="AQ13">
        <v>0</v>
      </c>
      <c r="AR13">
        <v>32.47</v>
      </c>
      <c r="AS13">
        <v>0</v>
      </c>
      <c r="AT13">
        <f>AH13+AI13+AK13</f>
      </c>
      <c r="AU13">
        <f>AF13-AV13</f>
      </c>
      <c r="AV13">
        <f>BE13+BL13+BY13+BV13</f>
      </c>
      <c r="AW13">
        <f>IF(V13=Z13,AU13*AH13,0)</f>
      </c>
      <c r="AX13">
        <f>IF(V13=Z13,AU13*AI13,0)</f>
      </c>
      <c r="AY13">
        <f>IF(V13&lt;&gt;Z13,AU13*AK13,0)</f>
      </c>
      <c r="AZ13">
        <f>IF(V13=Z13,AV13*AT13,0)</f>
      </c>
      <c r="BA13">
        <f>IF(V13=Z13,AV13*AT13,0)</f>
      </c>
      <c r="BB13">
        <f>IF(V13&lt;&gt;Z13,AV13*AT13,0)</f>
      </c>
      <c r="BC13">
        <f>AU13+AV13+AW13+AX13+AY13+AZ13+BA13+BB13-CB13-CD13-CH13</f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0.005</v>
      </c>
      <c r="CH13">
        <v>0.9</v>
      </c>
      <c r="CJ13" t="s">
        <v>118</v>
      </c>
      <c r="CK13" t="s">
        <v>119</v>
      </c>
      <c r="CL13" t="s">
        <v>222</v>
      </c>
      <c r="CM13" t="s">
        <v>223</v>
      </c>
      <c r="CN13" t="s">
        <v>114</v>
      </c>
      <c r="CO13">
        <v>700016</v>
      </c>
      <c r="CP13" t="s">
        <v>224</v>
      </c>
      <c r="CR13" t="s">
        <v>225</v>
      </c>
      <c r="CV13" t="s">
        <v>152</v>
      </c>
      <c r="CX13">
        <v>5002</v>
      </c>
    </row>
    <row r="14" spans="1:102" x14ac:dyDescent="0.25">
      <c r="A14" t="s">
        <v>102</v>
      </c>
      <c r="B14" t="s">
        <v>226</v>
      </c>
      <c r="C14">
        <v>46009.56122685185</v>
      </c>
      <c r="D14" t="s">
        <v>104</v>
      </c>
      <c r="E14" t="s">
        <v>227</v>
      </c>
      <c r="F14" t="s">
        <v>228</v>
      </c>
      <c r="G14">
        <v>46010.68900462963</v>
      </c>
      <c r="H14">
        <v>46009.54178240741</v>
      </c>
      <c r="I14">
        <v>542466000000</v>
      </c>
      <c r="J14">
        <v>2</v>
      </c>
      <c r="K14" t="s">
        <v>229</v>
      </c>
      <c r="L14" t="s">
        <v>230</v>
      </c>
      <c r="M14">
        <v>34029099</v>
      </c>
      <c r="N14" t="s">
        <v>231</v>
      </c>
      <c r="O14" t="s">
        <v>232</v>
      </c>
      <c r="P14" t="s">
        <v>111</v>
      </c>
      <c r="Q14" t="s">
        <v>112</v>
      </c>
      <c r="R14" t="s">
        <v>113</v>
      </c>
      <c r="S14" t="s">
        <v>114</v>
      </c>
      <c r="T14">
        <v>110061</v>
      </c>
      <c r="U14" t="s">
        <v>112</v>
      </c>
      <c r="V14" t="s">
        <v>113</v>
      </c>
      <c r="W14" t="s">
        <v>114</v>
      </c>
      <c r="X14">
        <v>110061</v>
      </c>
      <c r="Y14" t="s">
        <v>160</v>
      </c>
      <c r="Z14" t="s">
        <v>149</v>
      </c>
      <c r="AA14" t="s">
        <v>134</v>
      </c>
      <c r="AB14" t="s">
        <v>135</v>
      </c>
      <c r="AC14" t="s">
        <v>114</v>
      </c>
      <c r="AD14">
        <v>411021</v>
      </c>
      <c r="AE14">
        <v>419.76</v>
      </c>
      <c r="AF14">
        <v>355.72</v>
      </c>
      <c r="AG14">
        <v>64.04</v>
      </c>
      <c r="AH14">
        <v>0</v>
      </c>
      <c r="AI14">
        <v>0</v>
      </c>
      <c r="AJ14">
        <v>0</v>
      </c>
      <c r="AK14">
        <v>0.18</v>
      </c>
      <c r="AL14">
        <v>0</v>
      </c>
      <c r="AM14">
        <v>419.76</v>
      </c>
      <c r="AN14">
        <v>355.72</v>
      </c>
      <c r="AO14">
        <v>0</v>
      </c>
      <c r="AP14">
        <v>0</v>
      </c>
      <c r="AQ14">
        <v>0</v>
      </c>
      <c r="AR14">
        <v>64.04</v>
      </c>
      <c r="AS14">
        <v>0</v>
      </c>
      <c r="AT14">
        <f>AH14+AI14+AK14</f>
      </c>
      <c r="AU14">
        <f>AF14-AV14</f>
      </c>
      <c r="AV14">
        <f>BE14+BL14+BY14+BV14</f>
      </c>
      <c r="AW14">
        <f>IF(V14=Z14,AU14*AH14,0)</f>
      </c>
      <c r="AX14">
        <f>IF(V14=Z14,AU14*AI14,0)</f>
      </c>
      <c r="AY14">
        <f>IF(V14&lt;&gt;Z14,AU14*AK14,0)</f>
      </c>
      <c r="AZ14">
        <f>IF(V14=Z14,AV14*AT14,0)</f>
      </c>
      <c r="BA14">
        <f>IF(V14=Z14,AV14*AT14,0)</f>
      </c>
      <c r="BB14">
        <f>IF(V14&lt;&gt;Z14,AV14*AT14,0)</f>
      </c>
      <c r="BC14">
        <f>AU14+AV14+AW14+AX14+AY14+AZ14+BA14+BB14-CB14-CD14-CH14</f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0.005</v>
      </c>
      <c r="CH14">
        <v>1.78</v>
      </c>
      <c r="CJ14" t="s">
        <v>118</v>
      </c>
      <c r="CK14" t="s">
        <v>136</v>
      </c>
      <c r="CL14" t="s">
        <v>233</v>
      </c>
      <c r="CM14" t="s">
        <v>149</v>
      </c>
      <c r="CN14" t="s">
        <v>114</v>
      </c>
      <c r="CO14">
        <v>411021</v>
      </c>
      <c r="CP14" t="s">
        <v>234</v>
      </c>
      <c r="CR14" t="s">
        <v>235</v>
      </c>
      <c r="CU14" t="s">
        <v>236</v>
      </c>
      <c r="CV14" t="s">
        <v>124</v>
      </c>
      <c r="CW14">
        <v>46009.33275462963</v>
      </c>
    </row>
    <row r="15" spans="1:102" x14ac:dyDescent="0.25">
      <c r="A15" t="s">
        <v>102</v>
      </c>
      <c r="B15" t="s">
        <v>237</v>
      </c>
      <c r="C15">
        <v>46014.52789351852</v>
      </c>
      <c r="D15" t="s">
        <v>104</v>
      </c>
      <c r="E15" t="s">
        <v>238</v>
      </c>
      <c r="F15" t="s">
        <v>239</v>
      </c>
      <c r="G15">
        <v>46015.50011574074</v>
      </c>
      <c r="H15">
        <v>46014.51261574074</v>
      </c>
      <c r="I15">
        <v>544696000000</v>
      </c>
      <c r="J15">
        <v>1</v>
      </c>
      <c r="K15" t="s">
        <v>144</v>
      </c>
      <c r="L15" t="s">
        <v>145</v>
      </c>
      <c r="N15" t="s">
        <v>146</v>
      </c>
      <c r="O15" t="s">
        <v>147</v>
      </c>
      <c r="P15" t="s">
        <v>111</v>
      </c>
      <c r="Q15" t="s">
        <v>112</v>
      </c>
      <c r="R15" t="s">
        <v>113</v>
      </c>
      <c r="S15" t="s">
        <v>114</v>
      </c>
      <c r="T15">
        <v>110061</v>
      </c>
      <c r="U15" t="s">
        <v>112</v>
      </c>
      <c r="V15" t="s">
        <v>113</v>
      </c>
      <c r="W15" t="s">
        <v>114</v>
      </c>
      <c r="X15">
        <v>110061</v>
      </c>
      <c r="Y15" t="s">
        <v>148</v>
      </c>
      <c r="Z15" t="s">
        <v>149</v>
      </c>
      <c r="AA15" t="s">
        <v>134</v>
      </c>
      <c r="AB15" t="s">
        <v>135</v>
      </c>
      <c r="AC15" t="s">
        <v>114</v>
      </c>
      <c r="AD15">
        <v>400018</v>
      </c>
      <c r="AE15">
        <v>212.85</v>
      </c>
      <c r="AF15">
        <v>180.38</v>
      </c>
      <c r="AG15">
        <v>32.47</v>
      </c>
      <c r="AH15">
        <v>0</v>
      </c>
      <c r="AI15">
        <v>0</v>
      </c>
      <c r="AJ15">
        <v>0</v>
      </c>
      <c r="AK15">
        <v>0.18</v>
      </c>
      <c r="AL15">
        <v>0</v>
      </c>
      <c r="AM15">
        <v>212.85</v>
      </c>
      <c r="AN15">
        <v>180.38</v>
      </c>
      <c r="AO15">
        <v>0</v>
      </c>
      <c r="AP15">
        <v>0</v>
      </c>
      <c r="AQ15">
        <v>0</v>
      </c>
      <c r="AR15">
        <v>32.47</v>
      </c>
      <c r="AS15">
        <v>0</v>
      </c>
      <c r="AT15">
        <f>AH15+AI15+AK15</f>
      </c>
      <c r="AU15">
        <f>AF15-AV15</f>
      </c>
      <c r="AV15">
        <f>BE15+BL15+BY15+BV15</f>
      </c>
      <c r="AW15">
        <f>IF(V15=Z15,AU15*AH15,0)</f>
      </c>
      <c r="AX15">
        <f>IF(V15=Z15,AU15*AI15,0)</f>
      </c>
      <c r="AY15">
        <f>IF(V15&lt;&gt;Z15,AU15*AK15,0)</f>
      </c>
      <c r="AZ15">
        <f>IF(V15=Z15,AV15*AT15,0)</f>
      </c>
      <c r="BA15">
        <f>IF(V15=Z15,AV15*AT15,0)</f>
      </c>
      <c r="BB15">
        <f>IF(V15&lt;&gt;Z15,AV15*AT15,0)</f>
      </c>
      <c r="BC15">
        <f>AU15+AV15+AW15+AX15+AY15+AZ15+BA15+BB15-CB15-CD15-CH15</f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0.005</v>
      </c>
      <c r="CH15">
        <v>0.9</v>
      </c>
      <c r="CJ15" t="s">
        <v>118</v>
      </c>
      <c r="CK15" t="s">
        <v>240</v>
      </c>
      <c r="CL15" t="s">
        <v>148</v>
      </c>
      <c r="CM15" t="s">
        <v>149</v>
      </c>
      <c r="CN15" t="s">
        <v>114</v>
      </c>
      <c r="CO15">
        <v>400018</v>
      </c>
      <c r="CP15" t="s">
        <v>241</v>
      </c>
      <c r="CR15" t="s">
        <v>242</v>
      </c>
      <c r="CV15" t="s">
        <v>152</v>
      </c>
      <c r="CX15">
        <v>5002</v>
      </c>
    </row>
    <row r="16" spans="1:102" x14ac:dyDescent="0.25">
      <c r="A16" t="s">
        <v>102</v>
      </c>
      <c r="B16" t="s">
        <v>243</v>
      </c>
      <c r="C16">
        <v>46016.052199074074</v>
      </c>
      <c r="D16" t="s">
        <v>104</v>
      </c>
      <c r="E16" t="s">
        <v>244</v>
      </c>
      <c r="F16" t="s">
        <v>245</v>
      </c>
      <c r="G16">
        <v>46016.50011574074</v>
      </c>
      <c r="H16">
        <v>46016.032060185185</v>
      </c>
      <c r="I16">
        <v>544790000000</v>
      </c>
      <c r="J16">
        <v>1</v>
      </c>
      <c r="K16" t="s">
        <v>144</v>
      </c>
      <c r="L16" t="s">
        <v>145</v>
      </c>
      <c r="N16" t="s">
        <v>146</v>
      </c>
      <c r="O16" t="s">
        <v>147</v>
      </c>
      <c r="P16" t="s">
        <v>111</v>
      </c>
      <c r="Q16" t="s">
        <v>112</v>
      </c>
      <c r="R16" t="s">
        <v>113</v>
      </c>
      <c r="S16" t="s">
        <v>114</v>
      </c>
      <c r="T16">
        <v>110061</v>
      </c>
      <c r="U16" t="s">
        <v>112</v>
      </c>
      <c r="V16" t="s">
        <v>113</v>
      </c>
      <c r="W16" t="s">
        <v>114</v>
      </c>
      <c r="X16">
        <v>110061</v>
      </c>
      <c r="Y16" t="s">
        <v>246</v>
      </c>
      <c r="Z16" t="s">
        <v>247</v>
      </c>
      <c r="AA16" t="s">
        <v>134</v>
      </c>
      <c r="AB16" t="s">
        <v>135</v>
      </c>
      <c r="AC16" t="s">
        <v>114</v>
      </c>
      <c r="AD16">
        <v>396050</v>
      </c>
      <c r="AE16">
        <v>212.85</v>
      </c>
      <c r="AF16">
        <v>180.38</v>
      </c>
      <c r="AG16">
        <v>32.47</v>
      </c>
      <c r="AH16">
        <v>0</v>
      </c>
      <c r="AI16">
        <v>0</v>
      </c>
      <c r="AJ16">
        <v>0</v>
      </c>
      <c r="AK16">
        <v>0.18</v>
      </c>
      <c r="AL16">
        <v>0</v>
      </c>
      <c r="AM16">
        <v>212.85</v>
      </c>
      <c r="AN16">
        <v>180.38</v>
      </c>
      <c r="AO16">
        <v>0</v>
      </c>
      <c r="AP16">
        <v>0</v>
      </c>
      <c r="AQ16">
        <v>0</v>
      </c>
      <c r="AR16">
        <v>32.47</v>
      </c>
      <c r="AS16">
        <v>0</v>
      </c>
      <c r="AT16">
        <f>AH16+AI16+AK16</f>
      </c>
      <c r="AU16">
        <f>AF16-AV16</f>
      </c>
      <c r="AV16">
        <f>BE16+BL16+BY16+BV16</f>
      </c>
      <c r="AW16">
        <f>IF(V16=Z16,AU16*AH16,0)</f>
      </c>
      <c r="AX16">
        <f>IF(V16=Z16,AU16*AI16,0)</f>
      </c>
      <c r="AY16">
        <f>IF(V16&lt;&gt;Z16,AU16*AK16,0)</f>
      </c>
      <c r="AZ16">
        <f>IF(V16=Z16,AV16*AT16,0)</f>
      </c>
      <c r="BA16">
        <f>IF(V16=Z16,AV16*AT16,0)</f>
      </c>
      <c r="BB16">
        <f>IF(V16&lt;&gt;Z16,AV16*AT16,0)</f>
      </c>
      <c r="BC16">
        <f>AU16+AV16+AW16+AX16+AY16+AZ16+BA16+BB16-CB16-CD16-CH16</f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0.005</v>
      </c>
      <c r="CH16">
        <v>0.9</v>
      </c>
      <c r="CJ16" t="s">
        <v>118</v>
      </c>
      <c r="CK16" t="s">
        <v>167</v>
      </c>
      <c r="CL16" t="s">
        <v>148</v>
      </c>
      <c r="CM16" t="s">
        <v>149</v>
      </c>
      <c r="CN16" t="s">
        <v>114</v>
      </c>
      <c r="CO16">
        <v>400075</v>
      </c>
      <c r="CP16" t="s">
        <v>248</v>
      </c>
      <c r="CR16" t="s">
        <v>249</v>
      </c>
      <c r="CV16" t="s">
        <v>152</v>
      </c>
      <c r="CX16">
        <v>5002</v>
      </c>
    </row>
    <row r="17" spans="1:102" x14ac:dyDescent="0.25">
      <c r="A17" t="s">
        <v>102</v>
      </c>
      <c r="B17" t="s">
        <v>250</v>
      </c>
      <c r="C17">
        <v>46016.46261574074</v>
      </c>
      <c r="D17" t="s">
        <v>104</v>
      </c>
      <c r="E17" t="s">
        <v>251</v>
      </c>
      <c r="F17" t="s">
        <v>252</v>
      </c>
      <c r="G17">
        <v>46016.64664351852</v>
      </c>
      <c r="H17">
        <v>46016.44386574074</v>
      </c>
      <c r="I17">
        <v>544624000000</v>
      </c>
      <c r="J17">
        <v>1</v>
      </c>
      <c r="K17" t="s">
        <v>128</v>
      </c>
      <c r="L17" t="s">
        <v>129</v>
      </c>
      <c r="M17">
        <v>39211400</v>
      </c>
      <c r="N17" t="s">
        <v>130</v>
      </c>
      <c r="O17" t="s">
        <v>131</v>
      </c>
      <c r="P17" t="s">
        <v>111</v>
      </c>
      <c r="Q17" t="s">
        <v>112</v>
      </c>
      <c r="R17" t="s">
        <v>113</v>
      </c>
      <c r="S17" t="s">
        <v>114</v>
      </c>
      <c r="T17">
        <v>110061</v>
      </c>
      <c r="U17" t="s">
        <v>112</v>
      </c>
      <c r="V17" t="s">
        <v>113</v>
      </c>
      <c r="W17" t="s">
        <v>114</v>
      </c>
      <c r="X17">
        <v>110061</v>
      </c>
      <c r="Y17" t="s">
        <v>253</v>
      </c>
      <c r="Z17" t="s">
        <v>149</v>
      </c>
      <c r="AA17" t="s">
        <v>134</v>
      </c>
      <c r="AB17" t="s">
        <v>135</v>
      </c>
      <c r="AC17" t="s">
        <v>114</v>
      </c>
      <c r="AD17">
        <v>410405</v>
      </c>
      <c r="AE17">
        <v>274.23</v>
      </c>
      <c r="AF17">
        <v>232.4</v>
      </c>
      <c r="AG17">
        <v>41.83</v>
      </c>
      <c r="AH17">
        <v>0</v>
      </c>
      <c r="AI17">
        <v>0</v>
      </c>
      <c r="AJ17">
        <v>0</v>
      </c>
      <c r="AK17">
        <v>0.18</v>
      </c>
      <c r="AL17">
        <v>0</v>
      </c>
      <c r="AM17">
        <v>274.23</v>
      </c>
      <c r="AN17">
        <v>232.4</v>
      </c>
      <c r="AO17">
        <v>0</v>
      </c>
      <c r="AP17">
        <v>0</v>
      </c>
      <c r="AQ17">
        <v>0</v>
      </c>
      <c r="AR17">
        <v>41.83</v>
      </c>
      <c r="AS17">
        <v>0</v>
      </c>
      <c r="AT17">
        <f>AH17+AI17+AK17</f>
      </c>
      <c r="AU17">
        <f>AF17-AV17</f>
      </c>
      <c r="AV17">
        <f>BE17+BL17+BY17+BV17</f>
      </c>
      <c r="AW17">
        <f>IF(V17=Z17,AU17*AH17,0)</f>
      </c>
      <c r="AX17">
        <f>IF(V17=Z17,AU17*AI17,0)</f>
      </c>
      <c r="AY17">
        <f>IF(V17&lt;&gt;Z17,AU17*AK17,0)</f>
      </c>
      <c r="AZ17">
        <f>IF(V17=Z17,AV17*AT17,0)</f>
      </c>
      <c r="BA17">
        <f>IF(V17=Z17,AV17*AT17,0)</f>
      </c>
      <c r="BB17">
        <f>IF(V17&lt;&gt;Z17,AV17*AT17,0)</f>
      </c>
      <c r="BC17">
        <f>AU17+AV17+AW17+AX17+AY17+AZ17+BA17+BB17-CB17-CD17-CH17</f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0.005</v>
      </c>
      <c r="CH17">
        <v>1.16</v>
      </c>
      <c r="CJ17" t="s">
        <v>118</v>
      </c>
      <c r="CK17" t="s">
        <v>136</v>
      </c>
      <c r="CL17" t="s">
        <v>254</v>
      </c>
      <c r="CM17" t="s">
        <v>149</v>
      </c>
      <c r="CN17" t="s">
        <v>114</v>
      </c>
      <c r="CO17">
        <v>410401</v>
      </c>
      <c r="CP17" t="s">
        <v>255</v>
      </c>
      <c r="CR17" t="s">
        <v>256</v>
      </c>
      <c r="CV17" t="s">
        <v>152</v>
      </c>
      <c r="CX17" t="s">
        <v>170</v>
      </c>
    </row>
    <row r="18" spans="1:102" x14ac:dyDescent="0.25">
      <c r="A18" t="s">
        <v>102</v>
      </c>
      <c r="B18" t="s">
        <v>257</v>
      </c>
      <c r="C18">
        <v>46016.88414351852</v>
      </c>
      <c r="D18" t="s">
        <v>104</v>
      </c>
      <c r="E18" t="s">
        <v>258</v>
      </c>
      <c r="F18" t="s">
        <v>259</v>
      </c>
      <c r="G18">
        <v>46017.50011574074</v>
      </c>
      <c r="H18">
        <v>46016.86539351852</v>
      </c>
      <c r="I18">
        <v>544898000000</v>
      </c>
      <c r="J18">
        <v>1</v>
      </c>
      <c r="K18" t="s">
        <v>144</v>
      </c>
      <c r="L18" t="s">
        <v>145</v>
      </c>
      <c r="N18" t="s">
        <v>146</v>
      </c>
      <c r="O18" t="s">
        <v>147</v>
      </c>
      <c r="P18" t="s">
        <v>111</v>
      </c>
      <c r="Q18" t="s">
        <v>112</v>
      </c>
      <c r="R18" t="s">
        <v>113</v>
      </c>
      <c r="S18" t="s">
        <v>114</v>
      </c>
      <c r="T18">
        <v>110061</v>
      </c>
      <c r="U18" t="s">
        <v>112</v>
      </c>
      <c r="V18" t="s">
        <v>113</v>
      </c>
      <c r="W18" t="s">
        <v>114</v>
      </c>
      <c r="X18">
        <v>110061</v>
      </c>
      <c r="Y18" t="s">
        <v>260</v>
      </c>
      <c r="Z18" t="s">
        <v>149</v>
      </c>
      <c r="AA18" t="s">
        <v>134</v>
      </c>
      <c r="AB18" t="s">
        <v>135</v>
      </c>
      <c r="AC18" t="s">
        <v>114</v>
      </c>
      <c r="AD18">
        <v>400610</v>
      </c>
      <c r="AE18">
        <v>212.85</v>
      </c>
      <c r="AF18">
        <v>180.38</v>
      </c>
      <c r="AG18">
        <v>32.47</v>
      </c>
      <c r="AH18">
        <v>0</v>
      </c>
      <c r="AI18">
        <v>0</v>
      </c>
      <c r="AJ18">
        <v>0</v>
      </c>
      <c r="AK18">
        <v>0.18</v>
      </c>
      <c r="AL18">
        <v>0</v>
      </c>
      <c r="AM18">
        <v>212.85</v>
      </c>
      <c r="AN18">
        <v>180.38</v>
      </c>
      <c r="AO18">
        <v>0</v>
      </c>
      <c r="AP18">
        <v>0</v>
      </c>
      <c r="AQ18">
        <v>0</v>
      </c>
      <c r="AR18">
        <v>32.47</v>
      </c>
      <c r="AS18">
        <v>0</v>
      </c>
      <c r="AT18">
        <f>AH18+AI18+AK18</f>
      </c>
      <c r="AU18">
        <f>AF18-AV18</f>
      </c>
      <c r="AV18">
        <f>BE18+BL18+BY18+BV18</f>
      </c>
      <c r="AW18">
        <f>IF(V18=Z18,AU18*AH18,0)</f>
      </c>
      <c r="AX18">
        <f>IF(V18=Z18,AU18*AI18,0)</f>
      </c>
      <c r="AY18">
        <f>IF(V18&lt;&gt;Z18,AU18*AK18,0)</f>
      </c>
      <c r="AZ18">
        <f>IF(V18=Z18,AV18*AT18,0)</f>
      </c>
      <c r="BA18">
        <f>IF(V18=Z18,AV18*AT18,0)</f>
      </c>
      <c r="BB18">
        <f>IF(V18&lt;&gt;Z18,AV18*AT18,0)</f>
      </c>
      <c r="BC18">
        <f>AU18+AV18+AW18+AX18+AY18+AZ18+BA18+BB18-CB18-CD18-CH18</f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0.005</v>
      </c>
      <c r="CH18">
        <v>0.9</v>
      </c>
      <c r="CJ18" t="s">
        <v>118</v>
      </c>
      <c r="CK18" t="s">
        <v>240</v>
      </c>
      <c r="CL18" t="s">
        <v>160</v>
      </c>
      <c r="CM18" t="s">
        <v>149</v>
      </c>
      <c r="CN18" t="s">
        <v>114</v>
      </c>
      <c r="CO18">
        <v>411037</v>
      </c>
      <c r="CP18" t="s">
        <v>261</v>
      </c>
      <c r="CR18" t="s">
        <v>262</v>
      </c>
      <c r="CV18" t="s">
        <v>152</v>
      </c>
      <c r="CX18">
        <v>5002</v>
      </c>
    </row>
    <row r="19" spans="1:102" x14ac:dyDescent="0.25">
      <c r="A19" t="s">
        <v>102</v>
      </c>
      <c r="B19" t="s">
        <v>263</v>
      </c>
      <c r="C19">
        <v>46018.418171296296</v>
      </c>
      <c r="D19" t="s">
        <v>104</v>
      </c>
      <c r="E19" t="s">
        <v>264</v>
      </c>
      <c r="F19" t="s">
        <v>265</v>
      </c>
      <c r="G19">
        <v>46018.52233796296</v>
      </c>
      <c r="H19">
        <v>46018.39803240741</v>
      </c>
      <c r="I19">
        <v>544675000000</v>
      </c>
      <c r="J19">
        <v>1</v>
      </c>
      <c r="K19" t="s">
        <v>266</v>
      </c>
      <c r="L19" t="s">
        <v>267</v>
      </c>
      <c r="M19">
        <v>34013090</v>
      </c>
      <c r="N19" t="s">
        <v>268</v>
      </c>
      <c r="O19" t="s">
        <v>269</v>
      </c>
      <c r="P19" t="s">
        <v>111</v>
      </c>
      <c r="Q19" t="s">
        <v>112</v>
      </c>
      <c r="R19" t="s">
        <v>113</v>
      </c>
      <c r="S19" t="s">
        <v>114</v>
      </c>
      <c r="T19">
        <v>110061</v>
      </c>
      <c r="U19" t="s">
        <v>112</v>
      </c>
      <c r="V19" t="s">
        <v>113</v>
      </c>
      <c r="W19" t="s">
        <v>114</v>
      </c>
      <c r="X19">
        <v>110061</v>
      </c>
      <c r="Y19" t="s">
        <v>270</v>
      </c>
      <c r="Z19" t="s">
        <v>216</v>
      </c>
      <c r="AA19" t="s">
        <v>134</v>
      </c>
      <c r="AB19" t="s">
        <v>135</v>
      </c>
      <c r="AC19" t="s">
        <v>114</v>
      </c>
      <c r="AD19">
        <v>641042</v>
      </c>
      <c r="AE19">
        <v>226.71</v>
      </c>
      <c r="AF19">
        <v>192.13</v>
      </c>
      <c r="AG19">
        <v>34.58</v>
      </c>
      <c r="AH19">
        <v>0</v>
      </c>
      <c r="AI19">
        <v>0</v>
      </c>
      <c r="AJ19">
        <v>0</v>
      </c>
      <c r="AK19">
        <v>0.18</v>
      </c>
      <c r="AL19">
        <v>0</v>
      </c>
      <c r="AM19">
        <v>226.71</v>
      </c>
      <c r="AN19">
        <v>192.13</v>
      </c>
      <c r="AO19">
        <v>0</v>
      </c>
      <c r="AP19">
        <v>0</v>
      </c>
      <c r="AQ19">
        <v>0</v>
      </c>
      <c r="AR19">
        <v>34.58</v>
      </c>
      <c r="AS19">
        <v>0</v>
      </c>
      <c r="AT19">
        <f>AH19+AI19+AK19</f>
      </c>
      <c r="AU19">
        <f>AF19-AV19</f>
      </c>
      <c r="AV19">
        <f>BE19+BL19+BY19+BV19</f>
      </c>
      <c r="AW19">
        <f>IF(V19=Z19,AU19*AH19,0)</f>
      </c>
      <c r="AX19">
        <f>IF(V19=Z19,AU19*AI19,0)</f>
      </c>
      <c r="AY19">
        <f>IF(V19&lt;&gt;Z19,AU19*AK19,0)</f>
      </c>
      <c r="AZ19">
        <f>IF(V19=Z19,AV19*AT19,0)</f>
      </c>
      <c r="BA19">
        <f>IF(V19=Z19,AV19*AT19,0)</f>
      </c>
      <c r="BB19">
        <f>IF(V19&lt;&gt;Z19,AV19*AT19,0)</f>
      </c>
      <c r="BC19">
        <f>AU19+AV19+AW19+AX19+AY19+AZ19+BA19+BB19-CB19-CD19-CH19</f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0.005</v>
      </c>
      <c r="CH19">
        <v>0.96</v>
      </c>
      <c r="CJ19" t="s">
        <v>118</v>
      </c>
      <c r="CK19" t="s">
        <v>167</v>
      </c>
      <c r="CL19" t="s">
        <v>115</v>
      </c>
      <c r="CM19" t="s">
        <v>120</v>
      </c>
      <c r="CN19" t="s">
        <v>114</v>
      </c>
      <c r="CO19">
        <v>560017</v>
      </c>
      <c r="CP19" t="s">
        <v>271</v>
      </c>
      <c r="CR19" t="s">
        <v>272</v>
      </c>
      <c r="CU19" t="s">
        <v>273</v>
      </c>
      <c r="CV19" t="s">
        <v>124</v>
      </c>
      <c r="CW19">
        <v>46018.18900462963</v>
      </c>
    </row>
    <row r="20" spans="1:102" x14ac:dyDescent="0.25">
      <c r="A20" t="s">
        <v>102</v>
      </c>
      <c r="B20" t="s">
        <v>274</v>
      </c>
      <c r="C20">
        <v>46019.85011574074</v>
      </c>
      <c r="D20" t="s">
        <v>104</v>
      </c>
      <c r="E20" t="s">
        <v>275</v>
      </c>
      <c r="F20" t="s">
        <v>276</v>
      </c>
      <c r="G20">
        <v>46020.500810185185</v>
      </c>
      <c r="H20">
        <v>46019.847337962965</v>
      </c>
      <c r="I20">
        <v>544870000000</v>
      </c>
      <c r="J20">
        <v>1</v>
      </c>
      <c r="K20" t="s">
        <v>156</v>
      </c>
      <c r="L20" t="s">
        <v>157</v>
      </c>
      <c r="N20" t="s">
        <v>158</v>
      </c>
      <c r="O20" t="s">
        <v>159</v>
      </c>
      <c r="P20" t="s">
        <v>111</v>
      </c>
      <c r="Q20" t="s">
        <v>112</v>
      </c>
      <c r="R20" t="s">
        <v>113</v>
      </c>
      <c r="S20" t="s">
        <v>114</v>
      </c>
      <c r="T20">
        <v>110061</v>
      </c>
      <c r="U20" t="s">
        <v>112</v>
      </c>
      <c r="V20" t="s">
        <v>113</v>
      </c>
      <c r="W20" t="s">
        <v>114</v>
      </c>
      <c r="X20">
        <v>110061</v>
      </c>
      <c r="Y20" t="s">
        <v>277</v>
      </c>
      <c r="Z20" t="s">
        <v>120</v>
      </c>
      <c r="AA20" t="s">
        <v>134</v>
      </c>
      <c r="AB20" t="s">
        <v>135</v>
      </c>
      <c r="AC20" t="s">
        <v>114</v>
      </c>
      <c r="AD20">
        <v>560068</v>
      </c>
      <c r="AE20">
        <v>1048.41</v>
      </c>
      <c r="AF20">
        <v>888.48</v>
      </c>
      <c r="AG20">
        <v>159.93</v>
      </c>
      <c r="AH20">
        <v>0</v>
      </c>
      <c r="AI20">
        <v>0</v>
      </c>
      <c r="AJ20">
        <v>0</v>
      </c>
      <c r="AK20">
        <v>0.18</v>
      </c>
      <c r="AL20">
        <v>0</v>
      </c>
      <c r="AM20">
        <v>1048.41</v>
      </c>
      <c r="AN20">
        <v>888.48</v>
      </c>
      <c r="AO20">
        <v>0</v>
      </c>
      <c r="AP20">
        <v>0</v>
      </c>
      <c r="AQ20">
        <v>0</v>
      </c>
      <c r="AR20">
        <v>159.93</v>
      </c>
      <c r="AS20">
        <v>0</v>
      </c>
      <c r="AT20">
        <f>AH20+AI20+AK20</f>
      </c>
      <c r="AU20">
        <f>AF20-AV20</f>
      </c>
      <c r="AV20">
        <f>BE20+BL20+BY20+BV20</f>
      </c>
      <c r="AW20">
        <f>IF(V20=Z20,AU20*AH20,0)</f>
      </c>
      <c r="AX20">
        <f>IF(V20=Z20,AU20*AI20,0)</f>
      </c>
      <c r="AY20">
        <f>IF(V20&lt;&gt;Z20,AU20*AK20,0)</f>
      </c>
      <c r="AZ20">
        <f>IF(V20=Z20,AV20*AT20,0)</f>
      </c>
      <c r="BA20">
        <f>IF(V20=Z20,AV20*AT20,0)</f>
      </c>
      <c r="BB20">
        <f>IF(V20&lt;&gt;Z20,AV20*AT20,0)</f>
      </c>
      <c r="BC20">
        <f>AU20+AV20+AW20+AX20+AY20+AZ20+BA20+BB20-CB20-CD20-CH20</f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0.005</v>
      </c>
      <c r="CH20">
        <v>4.44</v>
      </c>
      <c r="CJ20" t="s">
        <v>118</v>
      </c>
      <c r="CK20" t="s">
        <v>136</v>
      </c>
      <c r="CL20" t="s">
        <v>278</v>
      </c>
      <c r="CM20" t="s">
        <v>279</v>
      </c>
      <c r="CN20" t="s">
        <v>114</v>
      </c>
      <c r="CO20">
        <v>785621</v>
      </c>
      <c r="CP20" t="s">
        <v>280</v>
      </c>
      <c r="CR20" t="s">
        <v>281</v>
      </c>
      <c r="CV20" t="s">
        <v>152</v>
      </c>
      <c r="CX20">
        <v>5002</v>
      </c>
    </row>
    <row r="21" spans="1:102" x14ac:dyDescent="0.25">
      <c r="A21" t="s">
        <v>102</v>
      </c>
      <c r="B21" t="s">
        <v>282</v>
      </c>
      <c r="C21">
        <v>46020.81261574074</v>
      </c>
      <c r="D21" t="s">
        <v>104</v>
      </c>
      <c r="E21" t="s">
        <v>283</v>
      </c>
      <c r="F21" t="s">
        <v>284</v>
      </c>
      <c r="G21">
        <v>46021.50011574074</v>
      </c>
      <c r="H21">
        <v>46020.793171296296</v>
      </c>
      <c r="I21">
        <v>544619000000</v>
      </c>
      <c r="J21">
        <v>1</v>
      </c>
      <c r="K21" t="s">
        <v>156</v>
      </c>
      <c r="L21" t="s">
        <v>157</v>
      </c>
      <c r="N21" t="s">
        <v>158</v>
      </c>
      <c r="O21" t="s">
        <v>159</v>
      </c>
      <c r="P21" t="s">
        <v>111</v>
      </c>
      <c r="Q21" t="s">
        <v>112</v>
      </c>
      <c r="R21" t="s">
        <v>113</v>
      </c>
      <c r="S21" t="s">
        <v>114</v>
      </c>
      <c r="T21">
        <v>110061</v>
      </c>
      <c r="U21" t="s">
        <v>112</v>
      </c>
      <c r="V21" t="s">
        <v>113</v>
      </c>
      <c r="W21" t="s">
        <v>114</v>
      </c>
      <c r="X21">
        <v>110061</v>
      </c>
      <c r="Y21" t="s">
        <v>285</v>
      </c>
      <c r="Z21" t="s">
        <v>120</v>
      </c>
      <c r="AA21" t="s">
        <v>134</v>
      </c>
      <c r="AB21" t="s">
        <v>135</v>
      </c>
      <c r="AC21" t="s">
        <v>114</v>
      </c>
      <c r="AD21">
        <v>590001</v>
      </c>
      <c r="AE21">
        <v>1048.41</v>
      </c>
      <c r="AF21">
        <v>888.48</v>
      </c>
      <c r="AG21">
        <v>159.93</v>
      </c>
      <c r="AH21">
        <v>0</v>
      </c>
      <c r="AI21">
        <v>0</v>
      </c>
      <c r="AJ21">
        <v>0</v>
      </c>
      <c r="AK21">
        <v>0.18</v>
      </c>
      <c r="AL21">
        <v>0</v>
      </c>
      <c r="AM21">
        <v>1048.41</v>
      </c>
      <c r="AN21">
        <v>888.48</v>
      </c>
      <c r="AO21">
        <v>0</v>
      </c>
      <c r="AP21">
        <v>0</v>
      </c>
      <c r="AQ21">
        <v>0</v>
      </c>
      <c r="AR21">
        <v>159.93</v>
      </c>
      <c r="AS21">
        <v>0</v>
      </c>
      <c r="AT21">
        <f>AH21+AI21+AK21</f>
      </c>
      <c r="AU21">
        <f>AF21-AV21</f>
      </c>
      <c r="AV21">
        <f>BE21+BL21+BY21+BV21</f>
      </c>
      <c r="AW21">
        <f>IF(V21=Z21,AU21*AH21,0)</f>
      </c>
      <c r="AX21">
        <f>IF(V21=Z21,AU21*AI21,0)</f>
      </c>
      <c r="AY21">
        <f>IF(V21&lt;&gt;Z21,AU21*AK21,0)</f>
      </c>
      <c r="AZ21">
        <f>IF(V21=Z21,AV21*AT21,0)</f>
      </c>
      <c r="BA21">
        <f>IF(V21=Z21,AV21*AT21,0)</f>
      </c>
      <c r="BB21">
        <f>IF(V21&lt;&gt;Z21,AV21*AT21,0)</f>
      </c>
      <c r="BC21">
        <f>AU21+AV21+AW21+AX21+AY21+AZ21+BA21+BB21-CB21-CD21-CH21</f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0.005</v>
      </c>
      <c r="CH21">
        <v>4.44</v>
      </c>
      <c r="CJ21" t="s">
        <v>118</v>
      </c>
      <c r="CK21" t="s">
        <v>136</v>
      </c>
      <c r="CL21" t="s">
        <v>285</v>
      </c>
      <c r="CM21" t="s">
        <v>120</v>
      </c>
      <c r="CN21" t="s">
        <v>114</v>
      </c>
      <c r="CO21">
        <v>590001</v>
      </c>
      <c r="CP21" t="s">
        <v>286</v>
      </c>
      <c r="CR21" t="s">
        <v>287</v>
      </c>
      <c r="CV21" t="s">
        <v>152</v>
      </c>
      <c r="CX21">
        <v>5002</v>
      </c>
    </row>
    <row r="22" spans="1:102" x14ac:dyDescent="0.25">
      <c r="A22" t="s">
        <v>288</v>
      </c>
      <c r="B22" t="s">
        <v>289</v>
      </c>
      <c r="C22">
        <v>45994.79803240741</v>
      </c>
      <c r="D22" t="s">
        <v>104</v>
      </c>
      <c r="E22" t="s">
        <v>290</v>
      </c>
      <c r="F22" t="s">
        <v>291</v>
      </c>
      <c r="G22">
        <v>45995.04108796296</v>
      </c>
      <c r="H22">
        <v>45994.609143518515</v>
      </c>
      <c r="I22">
        <v>538468000000</v>
      </c>
      <c r="J22">
        <v>1</v>
      </c>
      <c r="K22" t="s">
        <v>292</v>
      </c>
      <c r="L22" t="s">
        <v>293</v>
      </c>
      <c r="M22">
        <v>39249090</v>
      </c>
      <c r="N22" t="s">
        <v>294</v>
      </c>
      <c r="O22" t="s">
        <v>295</v>
      </c>
      <c r="P22" t="s">
        <v>111</v>
      </c>
      <c r="Q22" t="s">
        <v>112</v>
      </c>
      <c r="R22" t="s">
        <v>113</v>
      </c>
      <c r="S22" t="s">
        <v>114</v>
      </c>
      <c r="T22">
        <v>110061</v>
      </c>
      <c r="U22" t="s">
        <v>296</v>
      </c>
      <c r="V22" t="s">
        <v>297</v>
      </c>
      <c r="W22" t="s">
        <v>114</v>
      </c>
      <c r="X22">
        <v>226401</v>
      </c>
      <c r="Y22" t="s">
        <v>298</v>
      </c>
      <c r="Z22" t="s">
        <v>214</v>
      </c>
      <c r="AA22" t="s">
        <v>134</v>
      </c>
      <c r="AB22" t="s">
        <v>135</v>
      </c>
      <c r="AC22" t="s">
        <v>114</v>
      </c>
      <c r="AD22">
        <v>506001</v>
      </c>
      <c r="AE22">
        <v>341.55</v>
      </c>
      <c r="AF22">
        <v>289.45</v>
      </c>
      <c r="AG22">
        <v>52.1</v>
      </c>
      <c r="AH22">
        <v>0</v>
      </c>
      <c r="AI22">
        <v>0</v>
      </c>
      <c r="AJ22">
        <v>0</v>
      </c>
      <c r="AK22">
        <v>0.18</v>
      </c>
      <c r="AL22">
        <v>0</v>
      </c>
      <c r="AM22">
        <v>341.55</v>
      </c>
      <c r="AN22">
        <v>289.45</v>
      </c>
      <c r="AO22">
        <v>0</v>
      </c>
      <c r="AP22">
        <v>0</v>
      </c>
      <c r="AQ22">
        <v>0</v>
      </c>
      <c r="AR22">
        <v>52.1</v>
      </c>
      <c r="AS22">
        <v>0</v>
      </c>
      <c r="AT22">
        <f>AH22+AI22+AK22</f>
      </c>
      <c r="AU22">
        <f>AF22-AV22</f>
      </c>
      <c r="AV22">
        <f>BE22+BL22+BY22+BV22</f>
      </c>
      <c r="AW22">
        <f>IF(V22=Z22,AU22*AH22,0)</f>
      </c>
      <c r="AX22">
        <f>IF(V22=Z22,AU22*AI22,0)</f>
      </c>
      <c r="AY22">
        <f>IF(V22&lt;&gt;Z22,AU22*AK22,0)</f>
      </c>
      <c r="AZ22">
        <f>IF(V22=Z22,AV22*AT22,0)</f>
      </c>
      <c r="BA22">
        <f>IF(V22=Z22,AV22*AT22,0)</f>
      </c>
      <c r="BB22">
        <f>IF(V22&lt;&gt;Z22,AV22*AT22,0)</f>
      </c>
      <c r="BC22">
        <f>AU22+AV22+AW22+AX22+AY22+AZ22+BA22+BB22-CB22-CD22-CH22</f>
      </c>
      <c r="BD22">
        <v>40</v>
      </c>
      <c r="BE22">
        <v>33.9</v>
      </c>
      <c r="BF22">
        <v>0</v>
      </c>
      <c r="BG22">
        <v>0</v>
      </c>
      <c r="BH22">
        <v>0</v>
      </c>
      <c r="BI22">
        <v>6.1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-40</v>
      </c>
      <c r="BV22">
        <v>-33.9</v>
      </c>
      <c r="BW22">
        <v>-6.1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0.005</v>
      </c>
      <c r="CH22">
        <v>1.45</v>
      </c>
      <c r="CI22" t="s">
        <v>299</v>
      </c>
      <c r="CJ22" t="s">
        <v>300</v>
      </c>
      <c r="CK22" t="s">
        <v>301</v>
      </c>
      <c r="CL22" t="s">
        <v>298</v>
      </c>
      <c r="CM22" t="s">
        <v>214</v>
      </c>
      <c r="CN22" t="s">
        <v>114</v>
      </c>
      <c r="CO22">
        <v>506001</v>
      </c>
      <c r="CP22" t="s">
        <v>302</v>
      </c>
      <c r="CR22" t="s">
        <v>303</v>
      </c>
      <c r="CU22" t="s">
        <v>304</v>
      </c>
      <c r="CV22" t="s">
        <v>124</v>
      </c>
      <c r="CW22">
        <v>45994.569560185184</v>
      </c>
    </row>
    <row r="23" spans="1:102" x14ac:dyDescent="0.25">
      <c r="A23" t="s">
        <v>305</v>
      </c>
      <c r="B23" t="s">
        <v>306</v>
      </c>
      <c r="C23">
        <v>46001.67650462963</v>
      </c>
      <c r="D23" t="s">
        <v>104</v>
      </c>
      <c r="E23" t="s">
        <v>307</v>
      </c>
      <c r="F23" t="s">
        <v>308</v>
      </c>
      <c r="G23">
        <v>46001.74108796296</v>
      </c>
      <c r="H23">
        <v>46001.67303240741</v>
      </c>
      <c r="I23">
        <v>540863000000</v>
      </c>
      <c r="J23">
        <v>1</v>
      </c>
      <c r="K23" t="s">
        <v>292</v>
      </c>
      <c r="L23" t="s">
        <v>293</v>
      </c>
      <c r="M23">
        <v>39249090</v>
      </c>
      <c r="N23" t="s">
        <v>294</v>
      </c>
      <c r="O23" t="s">
        <v>295</v>
      </c>
      <c r="P23" t="s">
        <v>111</v>
      </c>
      <c r="Q23" t="s">
        <v>112</v>
      </c>
      <c r="R23" t="s">
        <v>113</v>
      </c>
      <c r="S23" t="s">
        <v>114</v>
      </c>
      <c r="T23">
        <v>110061</v>
      </c>
      <c r="U23" t="s">
        <v>309</v>
      </c>
      <c r="V23" t="s">
        <v>247</v>
      </c>
      <c r="W23" t="s">
        <v>114</v>
      </c>
      <c r="X23">
        <v>382220</v>
      </c>
      <c r="Y23" t="s">
        <v>166</v>
      </c>
      <c r="Z23" t="s">
        <v>149</v>
      </c>
      <c r="AA23" t="s">
        <v>134</v>
      </c>
      <c r="AB23" t="s">
        <v>135</v>
      </c>
      <c r="AC23" t="s">
        <v>114</v>
      </c>
      <c r="AD23">
        <v>421301</v>
      </c>
      <c r="AE23">
        <v>341.55</v>
      </c>
      <c r="AF23">
        <v>289.45</v>
      </c>
      <c r="AG23">
        <v>52.1</v>
      </c>
      <c r="AH23">
        <v>0</v>
      </c>
      <c r="AI23">
        <v>0</v>
      </c>
      <c r="AJ23">
        <v>0</v>
      </c>
      <c r="AK23">
        <v>0.18</v>
      </c>
      <c r="AL23">
        <v>0</v>
      </c>
      <c r="AM23">
        <v>341.55</v>
      </c>
      <c r="AN23">
        <v>289.45</v>
      </c>
      <c r="AO23">
        <v>0</v>
      </c>
      <c r="AP23">
        <v>0</v>
      </c>
      <c r="AQ23">
        <v>0</v>
      </c>
      <c r="AR23">
        <v>52.1</v>
      </c>
      <c r="AS23">
        <v>0</v>
      </c>
      <c r="AT23">
        <f>AH23+AI23+AK23</f>
      </c>
      <c r="AU23">
        <f>AF23-AV23</f>
      </c>
      <c r="AV23">
        <f>BE23+BL23+BY23+BV23</f>
      </c>
      <c r="AW23">
        <f>IF(V23=Z23,AU23*AH23,0)</f>
      </c>
      <c r="AX23">
        <f>IF(V23=Z23,AU23*AI23,0)</f>
      </c>
      <c r="AY23">
        <f>IF(V23&lt;&gt;Z23,AU23*AK23,0)</f>
      </c>
      <c r="AZ23">
        <f>IF(V23=Z23,AV23*AT23,0)</f>
      </c>
      <c r="BA23">
        <f>IF(V23=Z23,AV23*AT23,0)</f>
      </c>
      <c r="BB23">
        <f>IF(V23&lt;&gt;Z23,AV23*AT23,0)</f>
      </c>
      <c r="BC23">
        <f>AU23+AV23+AW23+AX23+AY23+AZ23+BA23+BB23-CB23-CD23-CH23</f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0.005</v>
      </c>
      <c r="CH23">
        <v>1.45</v>
      </c>
      <c r="CI23" t="s">
        <v>310</v>
      </c>
      <c r="CJ23" t="s">
        <v>300</v>
      </c>
      <c r="CK23" t="s">
        <v>167</v>
      </c>
      <c r="CL23" t="s">
        <v>166</v>
      </c>
      <c r="CM23" t="s">
        <v>149</v>
      </c>
      <c r="CN23" t="s">
        <v>114</v>
      </c>
      <c r="CO23">
        <v>421301</v>
      </c>
      <c r="CP23" t="s">
        <v>168</v>
      </c>
      <c r="CR23" t="s">
        <v>169</v>
      </c>
      <c r="CV23" t="s">
        <v>152</v>
      </c>
      <c r="CX23" t="s">
        <v>170</v>
      </c>
    </row>
    <row r="24" spans="1:102" x14ac:dyDescent="0.25">
      <c r="A24" t="s">
        <v>305</v>
      </c>
      <c r="B24" t="s">
        <v>311</v>
      </c>
      <c r="C24">
        <v>46007.32372685185</v>
      </c>
      <c r="D24" t="s">
        <v>104</v>
      </c>
      <c r="E24" t="s">
        <v>312</v>
      </c>
      <c r="F24" t="s">
        <v>313</v>
      </c>
      <c r="G24">
        <v>46007.47372685185</v>
      </c>
      <c r="H24">
        <v>46007.32025462963</v>
      </c>
      <c r="I24">
        <v>541347000000</v>
      </c>
      <c r="J24">
        <v>1</v>
      </c>
      <c r="K24" t="s">
        <v>292</v>
      </c>
      <c r="L24" t="s">
        <v>293</v>
      </c>
      <c r="M24">
        <v>39249090</v>
      </c>
      <c r="N24" t="s">
        <v>294</v>
      </c>
      <c r="O24" t="s">
        <v>295</v>
      </c>
      <c r="P24" t="s">
        <v>111</v>
      </c>
      <c r="Q24" t="s">
        <v>112</v>
      </c>
      <c r="R24" t="s">
        <v>113</v>
      </c>
      <c r="S24" t="s">
        <v>114</v>
      </c>
      <c r="T24">
        <v>110061</v>
      </c>
      <c r="U24" t="s">
        <v>309</v>
      </c>
      <c r="V24" t="s">
        <v>247</v>
      </c>
      <c r="W24" t="s">
        <v>114</v>
      </c>
      <c r="X24">
        <v>382220</v>
      </c>
      <c r="Y24" t="s">
        <v>314</v>
      </c>
      <c r="Z24" t="s">
        <v>315</v>
      </c>
      <c r="AA24" t="s">
        <v>134</v>
      </c>
      <c r="AB24" t="s">
        <v>135</v>
      </c>
      <c r="AC24" t="s">
        <v>114</v>
      </c>
      <c r="AD24">
        <v>122011</v>
      </c>
      <c r="AE24">
        <v>341.55</v>
      </c>
      <c r="AF24">
        <v>289.45</v>
      </c>
      <c r="AG24">
        <v>52.1</v>
      </c>
      <c r="AH24">
        <v>0</v>
      </c>
      <c r="AI24">
        <v>0</v>
      </c>
      <c r="AJ24">
        <v>0</v>
      </c>
      <c r="AK24">
        <v>0.18</v>
      </c>
      <c r="AL24">
        <v>0</v>
      </c>
      <c r="AM24">
        <v>341.55</v>
      </c>
      <c r="AN24">
        <v>289.45</v>
      </c>
      <c r="AO24">
        <v>0</v>
      </c>
      <c r="AP24">
        <v>0</v>
      </c>
      <c r="AQ24">
        <v>0</v>
      </c>
      <c r="AR24">
        <v>52.1</v>
      </c>
      <c r="AS24">
        <v>0</v>
      </c>
      <c r="AT24">
        <f>AH24+AI24+AK24</f>
      </c>
      <c r="AU24">
        <f>AF24-AV24</f>
      </c>
      <c r="AV24">
        <f>BE24+BL24+BY24+BV24</f>
      </c>
      <c r="AW24">
        <f>IF(V24=Z24,AU24*AH24,0)</f>
      </c>
      <c r="AX24">
        <f>IF(V24=Z24,AU24*AI24,0)</f>
      </c>
      <c r="AY24">
        <f>IF(V24&lt;&gt;Z24,AU24*AK24,0)</f>
      </c>
      <c r="AZ24">
        <f>IF(V24=Z24,AV24*AT24,0)</f>
      </c>
      <c r="BA24">
        <f>IF(V24=Z24,AV24*AT24,0)</f>
      </c>
      <c r="BB24">
        <f>IF(V24&lt;&gt;Z24,AV24*AT24,0)</f>
      </c>
      <c r="BC24">
        <f>AU24+AV24+AW24+AX24+AY24+AZ24+BA24+BB24-CB24-CD24-CH24</f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0.005</v>
      </c>
      <c r="CH24">
        <v>1.45</v>
      </c>
      <c r="CI24" t="s">
        <v>310</v>
      </c>
      <c r="CJ24" t="s">
        <v>300</v>
      </c>
      <c r="CK24" t="s">
        <v>167</v>
      </c>
      <c r="CL24" t="s">
        <v>314</v>
      </c>
      <c r="CM24" t="s">
        <v>315</v>
      </c>
      <c r="CN24" t="s">
        <v>114</v>
      </c>
      <c r="CO24">
        <v>122011</v>
      </c>
      <c r="CP24" t="s">
        <v>316</v>
      </c>
      <c r="CR24" t="s">
        <v>317</v>
      </c>
      <c r="CU24" t="s">
        <v>318</v>
      </c>
      <c r="CV24" t="s">
        <v>124</v>
      </c>
      <c r="CW24">
        <v>46007.09525462963</v>
      </c>
    </row>
    <row r="25" spans="1:102" x14ac:dyDescent="0.25">
      <c r="A25" t="s">
        <v>319</v>
      </c>
      <c r="B25" t="s">
        <v>320</v>
      </c>
      <c r="C25">
        <v>46019.18414351852</v>
      </c>
      <c r="D25" t="s">
        <v>104</v>
      </c>
      <c r="E25" t="s">
        <v>321</v>
      </c>
      <c r="F25" t="s">
        <v>322</v>
      </c>
      <c r="G25">
        <v>46019.745254629626</v>
      </c>
      <c r="H25">
        <v>46018.96192129629</v>
      </c>
      <c r="I25">
        <v>544700000000</v>
      </c>
      <c r="J25">
        <v>1</v>
      </c>
      <c r="K25" t="s">
        <v>323</v>
      </c>
      <c r="L25" t="s">
        <v>324</v>
      </c>
      <c r="M25">
        <v>34059090</v>
      </c>
      <c r="N25" t="s">
        <v>325</v>
      </c>
      <c r="O25" t="s">
        <v>326</v>
      </c>
      <c r="P25" t="s">
        <v>111</v>
      </c>
      <c r="Q25" t="s">
        <v>112</v>
      </c>
      <c r="R25" t="s">
        <v>113</v>
      </c>
      <c r="S25" t="s">
        <v>114</v>
      </c>
      <c r="T25">
        <v>110061</v>
      </c>
      <c r="U25" t="s">
        <v>327</v>
      </c>
      <c r="V25" t="s">
        <v>216</v>
      </c>
      <c r="W25" t="s">
        <v>114</v>
      </c>
      <c r="X25">
        <v>601206</v>
      </c>
      <c r="Y25" t="s">
        <v>115</v>
      </c>
      <c r="Z25" t="s">
        <v>120</v>
      </c>
      <c r="AA25" t="s">
        <v>134</v>
      </c>
      <c r="AB25" t="s">
        <v>135</v>
      </c>
      <c r="AC25" t="s">
        <v>114</v>
      </c>
      <c r="AD25">
        <v>560103</v>
      </c>
      <c r="AE25">
        <v>266.31</v>
      </c>
      <c r="AF25">
        <v>225.69</v>
      </c>
      <c r="AG25">
        <v>40.62</v>
      </c>
      <c r="AH25">
        <v>0</v>
      </c>
      <c r="AI25">
        <v>0</v>
      </c>
      <c r="AJ25">
        <v>0</v>
      </c>
      <c r="AK25">
        <v>0.18</v>
      </c>
      <c r="AL25">
        <v>0</v>
      </c>
      <c r="AM25">
        <v>266.31</v>
      </c>
      <c r="AN25">
        <v>225.69</v>
      </c>
      <c r="AO25">
        <v>0</v>
      </c>
      <c r="AP25">
        <v>0</v>
      </c>
      <c r="AQ25">
        <v>0</v>
      </c>
      <c r="AR25">
        <v>40.62</v>
      </c>
      <c r="AS25">
        <v>0</v>
      </c>
      <c r="AT25">
        <f>AH25+AI25+AK25</f>
      </c>
      <c r="AU25">
        <f>AF25-AV25</f>
      </c>
      <c r="AV25">
        <f>BE25+BL25+BY25+BV25</f>
      </c>
      <c r="AW25">
        <f>IF(V25=Z25,AU25*AH25,0)</f>
      </c>
      <c r="AX25">
        <f>IF(V25=Z25,AU25*AI25,0)</f>
      </c>
      <c r="AY25">
        <f>IF(V25&lt;&gt;Z25,AU25*AK25,0)</f>
      </c>
      <c r="AZ25">
        <f>IF(V25=Z25,AV25*AT25,0)</f>
      </c>
      <c r="BA25">
        <f>IF(V25=Z25,AV25*AT25,0)</f>
      </c>
      <c r="BB25">
        <f>IF(V25&lt;&gt;Z25,AV25*AT25,0)</f>
      </c>
      <c r="BC25">
        <f>AU25+AV25+AW25+AX25+AY25+AZ25+BA25+BB25-CB25-CD25-CH25</f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0.005</v>
      </c>
      <c r="CH25">
        <v>1.13</v>
      </c>
      <c r="CI25" t="s">
        <v>328</v>
      </c>
      <c r="CJ25" t="s">
        <v>300</v>
      </c>
      <c r="CK25" t="s">
        <v>136</v>
      </c>
      <c r="CL25" t="s">
        <v>148</v>
      </c>
      <c r="CM25" t="s">
        <v>149</v>
      </c>
      <c r="CN25" t="s">
        <v>114</v>
      </c>
      <c r="CO25">
        <v>400086</v>
      </c>
      <c r="CP25" t="s">
        <v>329</v>
      </c>
      <c r="CR25" t="s">
        <v>330</v>
      </c>
      <c r="CV25" t="s">
        <v>152</v>
      </c>
      <c r="CX25">
        <v>3074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FormatPr defaultRowHeight="15" outlineLevelRow="0" outlineLevelCol="0" x14ac:dyDescent="55"/>
  <sheetData>
    <row r="1" spans="1:18" x14ac:dyDescent="0.25">
      <c r="A1" t="s">
        <v>0</v>
      </c>
      <c r="B1" t="s">
        <v>27</v>
      </c>
      <c r="C1" t="s">
        <v>26</v>
      </c>
      <c r="D1" t="s">
        <v>14</v>
      </c>
      <c r="E1" t="s">
        <v>9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79</v>
      </c>
      <c r="P1" t="s">
        <v>81</v>
      </c>
      <c r="Q1" t="s">
        <v>85</v>
      </c>
      <c r="R1" t="s">
        <v>54</v>
      </c>
    </row>
    <row r="2" spans="1:18" x14ac:dyDescent="0.25">
      <c r="A2" t="s">
        <v>102</v>
      </c>
      <c r="B2" t="s">
        <v>117</v>
      </c>
      <c r="C2" t="s">
        <v>116</v>
      </c>
      <c r="D2" t="s">
        <v>110</v>
      </c>
      <c r="E2">
        <v>1</v>
      </c>
      <c r="F2">
        <v>0.18</v>
      </c>
      <c r="G2">
        <v>223.17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1.12</v>
      </c>
      <c r="R2">
        <v>222.04999999999998</v>
      </c>
    </row>
    <row r="3" spans="1:18" x14ac:dyDescent="0.25">
      <c r="A3" t="s">
        <v>102</v>
      </c>
      <c r="B3" t="s">
        <v>135</v>
      </c>
      <c r="C3" t="s">
        <v>134</v>
      </c>
      <c r="D3" t="s">
        <v>131</v>
      </c>
      <c r="E3">
        <v>1</v>
      </c>
      <c r="F3">
        <v>0.18</v>
      </c>
      <c r="G3">
        <v>232.4</v>
      </c>
      <c r="H3">
        <v>0</v>
      </c>
      <c r="I3">
        <v>0</v>
      </c>
      <c r="J3">
        <v>0</v>
      </c>
      <c r="K3">
        <v>41.832</v>
      </c>
      <c r="L3">
        <v>0</v>
      </c>
      <c r="M3">
        <v>0</v>
      </c>
      <c r="N3">
        <v>0</v>
      </c>
      <c r="O3">
        <v>0</v>
      </c>
      <c r="P3">
        <v>0</v>
      </c>
      <c r="Q3">
        <v>1.16</v>
      </c>
      <c r="R3">
        <v>273.072</v>
      </c>
    </row>
    <row r="4" spans="1:18" x14ac:dyDescent="0.25">
      <c r="A4" t="s">
        <v>102</v>
      </c>
      <c r="B4" t="s">
        <v>135</v>
      </c>
      <c r="C4" t="s">
        <v>134</v>
      </c>
      <c r="D4" t="s">
        <v>147</v>
      </c>
      <c r="E4">
        <v>1</v>
      </c>
      <c r="F4">
        <v>0.18</v>
      </c>
      <c r="G4">
        <v>180.38</v>
      </c>
      <c r="H4">
        <v>0</v>
      </c>
      <c r="I4">
        <v>0</v>
      </c>
      <c r="J4">
        <v>0</v>
      </c>
      <c r="K4">
        <v>32.468399999999995</v>
      </c>
      <c r="L4">
        <v>0</v>
      </c>
      <c r="M4">
        <v>0</v>
      </c>
      <c r="N4">
        <v>0</v>
      </c>
      <c r="O4">
        <v>0</v>
      </c>
      <c r="P4">
        <v>0</v>
      </c>
      <c r="Q4">
        <v>0.9</v>
      </c>
      <c r="R4">
        <v>211.9484</v>
      </c>
    </row>
    <row r="5" spans="1:18" x14ac:dyDescent="0.25">
      <c r="A5" t="s">
        <v>102</v>
      </c>
      <c r="B5" t="s">
        <v>135</v>
      </c>
      <c r="C5" t="s">
        <v>134</v>
      </c>
      <c r="D5" t="s">
        <v>159</v>
      </c>
      <c r="E5">
        <v>1</v>
      </c>
      <c r="F5">
        <v>0.18</v>
      </c>
      <c r="G5">
        <v>888.48</v>
      </c>
      <c r="H5">
        <v>0</v>
      </c>
      <c r="I5">
        <v>0</v>
      </c>
      <c r="J5">
        <v>0</v>
      </c>
      <c r="K5">
        <v>159.9264</v>
      </c>
      <c r="L5">
        <v>0</v>
      </c>
      <c r="M5">
        <v>0</v>
      </c>
      <c r="N5">
        <v>0</v>
      </c>
      <c r="O5">
        <v>0</v>
      </c>
      <c r="P5">
        <v>0</v>
      </c>
      <c r="Q5">
        <v>4.44</v>
      </c>
      <c r="R5">
        <v>1043.9664</v>
      </c>
    </row>
    <row r="6" spans="1:18" x14ac:dyDescent="0.25">
      <c r="A6" t="s">
        <v>102</v>
      </c>
      <c r="B6" t="s">
        <v>135</v>
      </c>
      <c r="C6" t="s">
        <v>134</v>
      </c>
      <c r="D6" t="s">
        <v>131</v>
      </c>
      <c r="E6">
        <v>1</v>
      </c>
      <c r="F6">
        <v>0.18</v>
      </c>
      <c r="G6">
        <v>232.4</v>
      </c>
      <c r="H6">
        <v>0</v>
      </c>
      <c r="I6">
        <v>0</v>
      </c>
      <c r="J6">
        <v>0</v>
      </c>
      <c r="K6">
        <v>41.832</v>
      </c>
      <c r="L6">
        <v>0</v>
      </c>
      <c r="M6">
        <v>0</v>
      </c>
      <c r="N6">
        <v>0</v>
      </c>
      <c r="O6">
        <v>0</v>
      </c>
      <c r="P6">
        <v>0</v>
      </c>
      <c r="Q6">
        <v>1.16</v>
      </c>
      <c r="R6">
        <v>273.072</v>
      </c>
    </row>
    <row r="7" spans="1:18" x14ac:dyDescent="0.25">
      <c r="A7" t="s">
        <v>102</v>
      </c>
      <c r="B7" t="s">
        <v>135</v>
      </c>
      <c r="C7" t="s">
        <v>134</v>
      </c>
      <c r="D7" t="s">
        <v>131</v>
      </c>
      <c r="E7">
        <v>8</v>
      </c>
      <c r="F7">
        <v>0.18</v>
      </c>
      <c r="G7">
        <v>1859.2</v>
      </c>
      <c r="H7">
        <v>0</v>
      </c>
      <c r="I7">
        <v>0</v>
      </c>
      <c r="J7">
        <v>0</v>
      </c>
      <c r="K7">
        <v>334.656</v>
      </c>
      <c r="L7">
        <v>0</v>
      </c>
      <c r="M7">
        <v>0</v>
      </c>
      <c r="N7">
        <v>0</v>
      </c>
      <c r="O7">
        <v>0</v>
      </c>
      <c r="P7">
        <v>0</v>
      </c>
      <c r="Q7">
        <v>9.28</v>
      </c>
      <c r="R7">
        <v>2184.576</v>
      </c>
    </row>
    <row r="8" spans="1:18" x14ac:dyDescent="0.25">
      <c r="A8" t="s">
        <v>102</v>
      </c>
      <c r="B8" t="s">
        <v>135</v>
      </c>
      <c r="C8" t="s">
        <v>134</v>
      </c>
      <c r="D8" t="s">
        <v>184</v>
      </c>
      <c r="E8">
        <v>1</v>
      </c>
      <c r="F8">
        <v>0.18</v>
      </c>
      <c r="G8">
        <v>448.02</v>
      </c>
      <c r="H8">
        <v>0</v>
      </c>
      <c r="I8">
        <v>0</v>
      </c>
      <c r="J8">
        <v>0</v>
      </c>
      <c r="K8">
        <v>80.64359999999999</v>
      </c>
      <c r="L8">
        <v>0</v>
      </c>
      <c r="M8">
        <v>0</v>
      </c>
      <c r="N8">
        <v>0</v>
      </c>
      <c r="O8">
        <v>0</v>
      </c>
      <c r="P8">
        <v>0</v>
      </c>
      <c r="Q8">
        <v>2.24</v>
      </c>
      <c r="R8">
        <v>526.4236</v>
      </c>
    </row>
    <row r="9" spans="1:18" x14ac:dyDescent="0.25">
      <c r="A9" t="s">
        <v>102</v>
      </c>
      <c r="B9" t="s">
        <v>135</v>
      </c>
      <c r="C9" t="s">
        <v>134</v>
      </c>
      <c r="D9" t="s">
        <v>194</v>
      </c>
      <c r="E9">
        <v>1</v>
      </c>
      <c r="F9">
        <v>0.18</v>
      </c>
      <c r="G9">
        <v>582.25</v>
      </c>
      <c r="H9">
        <v>0</v>
      </c>
      <c r="I9">
        <v>0</v>
      </c>
      <c r="J9">
        <v>0</v>
      </c>
      <c r="K9">
        <v>104.80499999999999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2.91</v>
      </c>
      <c r="R9">
        <v>684.145</v>
      </c>
    </row>
    <row r="10" spans="1:18" x14ac:dyDescent="0.25">
      <c r="A10" t="s">
        <v>102</v>
      </c>
      <c r="B10" t="s">
        <v>135</v>
      </c>
      <c r="C10" t="s">
        <v>134</v>
      </c>
      <c r="D10" t="s">
        <v>205</v>
      </c>
      <c r="E10">
        <v>1</v>
      </c>
      <c r="F10">
        <v>0.18</v>
      </c>
      <c r="G10">
        <v>376.7</v>
      </c>
      <c r="H10">
        <v>0</v>
      </c>
      <c r="I10">
        <v>0</v>
      </c>
      <c r="J10">
        <v>0</v>
      </c>
      <c r="K10">
        <v>67.806</v>
      </c>
      <c r="L10">
        <v>0</v>
      </c>
      <c r="M10">
        <v>0</v>
      </c>
      <c r="N10">
        <v>0</v>
      </c>
      <c r="O10">
        <v>0</v>
      </c>
      <c r="P10">
        <v>0</v>
      </c>
      <c r="Q10">
        <v>1.88</v>
      </c>
      <c r="R10">
        <v>442.626</v>
      </c>
    </row>
    <row r="11" spans="1:18" x14ac:dyDescent="0.25">
      <c r="A11" t="s">
        <v>102</v>
      </c>
      <c r="B11" t="s">
        <v>135</v>
      </c>
      <c r="C11" t="s">
        <v>134</v>
      </c>
      <c r="D11" t="s">
        <v>147</v>
      </c>
      <c r="E11">
        <v>1</v>
      </c>
      <c r="F11">
        <v>0.18</v>
      </c>
      <c r="G11">
        <v>180.38</v>
      </c>
      <c r="H11">
        <v>0</v>
      </c>
      <c r="I11">
        <v>0</v>
      </c>
      <c r="J11">
        <v>0</v>
      </c>
      <c r="K11">
        <v>32.468399999999995</v>
      </c>
      <c r="L11">
        <v>0</v>
      </c>
      <c r="M11">
        <v>0</v>
      </c>
      <c r="N11">
        <v>0</v>
      </c>
      <c r="O11">
        <v>0</v>
      </c>
      <c r="P11">
        <v>0</v>
      </c>
      <c r="Q11">
        <v>0.9</v>
      </c>
      <c r="R11">
        <v>211.9484</v>
      </c>
    </row>
    <row r="12" spans="1:18" x14ac:dyDescent="0.25">
      <c r="A12" t="s">
        <v>102</v>
      </c>
      <c r="B12" t="s">
        <v>135</v>
      </c>
      <c r="C12" t="s">
        <v>134</v>
      </c>
      <c r="D12" t="s">
        <v>159</v>
      </c>
      <c r="E12">
        <v>1</v>
      </c>
      <c r="F12">
        <v>0.18</v>
      </c>
      <c r="G12">
        <v>888.48</v>
      </c>
      <c r="H12">
        <v>0</v>
      </c>
      <c r="I12">
        <v>0</v>
      </c>
      <c r="J12">
        <v>0</v>
      </c>
      <c r="K12">
        <v>159.9264</v>
      </c>
      <c r="L12">
        <v>0</v>
      </c>
      <c r="M12">
        <v>0</v>
      </c>
      <c r="N12">
        <v>0</v>
      </c>
      <c r="O12">
        <v>0</v>
      </c>
      <c r="P12">
        <v>0</v>
      </c>
      <c r="Q12">
        <v>4.44</v>
      </c>
      <c r="R12">
        <v>1043.9664</v>
      </c>
    </row>
    <row r="13" spans="1:18" x14ac:dyDescent="0.25">
      <c r="A13" t="s">
        <v>102</v>
      </c>
      <c r="B13" t="s">
        <v>135</v>
      </c>
      <c r="C13" t="s">
        <v>134</v>
      </c>
      <c r="D13" t="s">
        <v>147</v>
      </c>
      <c r="E13">
        <v>1</v>
      </c>
      <c r="F13">
        <v>0.18</v>
      </c>
      <c r="G13">
        <v>180.38</v>
      </c>
      <c r="H13">
        <v>0</v>
      </c>
      <c r="I13">
        <v>0</v>
      </c>
      <c r="J13">
        <v>0</v>
      </c>
      <c r="K13">
        <v>32.468399999999995</v>
      </c>
      <c r="L13">
        <v>0</v>
      </c>
      <c r="M13">
        <v>0</v>
      </c>
      <c r="N13">
        <v>0</v>
      </c>
      <c r="O13">
        <v>0</v>
      </c>
      <c r="P13">
        <v>0</v>
      </c>
      <c r="Q13">
        <v>0.9</v>
      </c>
      <c r="R13">
        <v>211.9484</v>
      </c>
    </row>
    <row r="14" spans="1:18" x14ac:dyDescent="0.25">
      <c r="A14" t="s">
        <v>102</v>
      </c>
      <c r="B14" t="s">
        <v>135</v>
      </c>
      <c r="C14" t="s">
        <v>134</v>
      </c>
      <c r="D14" t="s">
        <v>232</v>
      </c>
      <c r="E14">
        <v>2</v>
      </c>
      <c r="F14">
        <v>0.18</v>
      </c>
      <c r="G14">
        <v>355.72</v>
      </c>
      <c r="H14">
        <v>0</v>
      </c>
      <c r="I14">
        <v>0</v>
      </c>
      <c r="J14">
        <v>0</v>
      </c>
      <c r="K14">
        <v>64.0296</v>
      </c>
      <c r="L14">
        <v>0</v>
      </c>
      <c r="M14">
        <v>0</v>
      </c>
      <c r="N14">
        <v>0</v>
      </c>
      <c r="O14">
        <v>0</v>
      </c>
      <c r="P14">
        <v>0</v>
      </c>
      <c r="Q14">
        <v>1.78</v>
      </c>
      <c r="R14">
        <v>417.96960000000007</v>
      </c>
    </row>
    <row r="15" spans="1:18" x14ac:dyDescent="0.25">
      <c r="A15" t="s">
        <v>102</v>
      </c>
      <c r="B15" t="s">
        <v>135</v>
      </c>
      <c r="C15" t="s">
        <v>134</v>
      </c>
      <c r="D15" t="s">
        <v>147</v>
      </c>
      <c r="E15">
        <v>1</v>
      </c>
      <c r="F15">
        <v>0.18</v>
      </c>
      <c r="G15">
        <v>180.38</v>
      </c>
      <c r="H15">
        <v>0</v>
      </c>
      <c r="I15">
        <v>0</v>
      </c>
      <c r="J15">
        <v>0</v>
      </c>
      <c r="K15">
        <v>32.468399999999995</v>
      </c>
      <c r="L15">
        <v>0</v>
      </c>
      <c r="M15">
        <v>0</v>
      </c>
      <c r="N15">
        <v>0</v>
      </c>
      <c r="O15">
        <v>0</v>
      </c>
      <c r="P15">
        <v>0</v>
      </c>
      <c r="Q15">
        <v>0.9</v>
      </c>
      <c r="R15">
        <v>211.9484</v>
      </c>
    </row>
    <row r="16" spans="1:18" x14ac:dyDescent="0.25">
      <c r="A16" t="s">
        <v>102</v>
      </c>
      <c r="B16" t="s">
        <v>135</v>
      </c>
      <c r="C16" t="s">
        <v>134</v>
      </c>
      <c r="D16" t="s">
        <v>147</v>
      </c>
      <c r="E16">
        <v>1</v>
      </c>
      <c r="F16">
        <v>0.18</v>
      </c>
      <c r="G16">
        <v>180.38</v>
      </c>
      <c r="H16">
        <v>0</v>
      </c>
      <c r="I16">
        <v>0</v>
      </c>
      <c r="J16">
        <v>0</v>
      </c>
      <c r="K16">
        <v>32.468399999999995</v>
      </c>
      <c r="L16">
        <v>0</v>
      </c>
      <c r="M16">
        <v>0</v>
      </c>
      <c r="N16">
        <v>0</v>
      </c>
      <c r="O16">
        <v>0</v>
      </c>
      <c r="P16">
        <v>0</v>
      </c>
      <c r="Q16">
        <v>0.9</v>
      </c>
      <c r="R16">
        <v>211.9484</v>
      </c>
    </row>
    <row r="17" spans="1:18" x14ac:dyDescent="0.25">
      <c r="A17" t="s">
        <v>102</v>
      </c>
      <c r="B17" t="s">
        <v>135</v>
      </c>
      <c r="C17" t="s">
        <v>134</v>
      </c>
      <c r="D17" t="s">
        <v>131</v>
      </c>
      <c r="E17">
        <v>1</v>
      </c>
      <c r="F17">
        <v>0.18</v>
      </c>
      <c r="G17">
        <v>232.4</v>
      </c>
      <c r="H17">
        <v>0</v>
      </c>
      <c r="I17">
        <v>0</v>
      </c>
      <c r="J17">
        <v>0</v>
      </c>
      <c r="K17">
        <v>41.832</v>
      </c>
      <c r="L17">
        <v>0</v>
      </c>
      <c r="M17">
        <v>0</v>
      </c>
      <c r="N17">
        <v>0</v>
      </c>
      <c r="O17">
        <v>0</v>
      </c>
      <c r="P17">
        <v>0</v>
      </c>
      <c r="Q17">
        <v>1.16</v>
      </c>
      <c r="R17">
        <v>273.072</v>
      </c>
    </row>
    <row r="18" spans="1:18" x14ac:dyDescent="0.25">
      <c r="A18" t="s">
        <v>102</v>
      </c>
      <c r="B18" t="s">
        <v>135</v>
      </c>
      <c r="C18" t="s">
        <v>134</v>
      </c>
      <c r="D18" t="s">
        <v>147</v>
      </c>
      <c r="E18">
        <v>1</v>
      </c>
      <c r="F18">
        <v>0.18</v>
      </c>
      <c r="G18">
        <v>180.38</v>
      </c>
      <c r="H18">
        <v>0</v>
      </c>
      <c r="I18">
        <v>0</v>
      </c>
      <c r="J18">
        <v>0</v>
      </c>
      <c r="K18">
        <v>32.468399999999995</v>
      </c>
      <c r="L18">
        <v>0</v>
      </c>
      <c r="M18">
        <v>0</v>
      </c>
      <c r="N18">
        <v>0</v>
      </c>
      <c r="O18">
        <v>0</v>
      </c>
      <c r="P18">
        <v>0</v>
      </c>
      <c r="Q18">
        <v>0.9</v>
      </c>
      <c r="R18">
        <v>211.9484</v>
      </c>
    </row>
    <row r="19" spans="1:18" x14ac:dyDescent="0.25">
      <c r="A19" t="s">
        <v>102</v>
      </c>
      <c r="B19" t="s">
        <v>135</v>
      </c>
      <c r="C19" t="s">
        <v>134</v>
      </c>
      <c r="D19" t="s">
        <v>269</v>
      </c>
      <c r="E19">
        <v>1</v>
      </c>
      <c r="F19">
        <v>0.18</v>
      </c>
      <c r="G19">
        <v>192.13</v>
      </c>
      <c r="H19">
        <v>0</v>
      </c>
      <c r="I19">
        <v>0</v>
      </c>
      <c r="J19">
        <v>0</v>
      </c>
      <c r="K19">
        <v>34.5834</v>
      </c>
      <c r="L19">
        <v>0</v>
      </c>
      <c r="M19">
        <v>0</v>
      </c>
      <c r="N19">
        <v>0</v>
      </c>
      <c r="O19">
        <v>0</v>
      </c>
      <c r="P19">
        <v>0</v>
      </c>
      <c r="Q19">
        <v>0.96</v>
      </c>
      <c r="R19">
        <v>225.75339999999997</v>
      </c>
    </row>
    <row r="20" spans="1:18" x14ac:dyDescent="0.25">
      <c r="A20" t="s">
        <v>102</v>
      </c>
      <c r="B20" t="s">
        <v>135</v>
      </c>
      <c r="C20" t="s">
        <v>134</v>
      </c>
      <c r="D20" t="s">
        <v>159</v>
      </c>
      <c r="E20">
        <v>1</v>
      </c>
      <c r="F20">
        <v>0.18</v>
      </c>
      <c r="G20">
        <v>888.48</v>
      </c>
      <c r="H20">
        <v>0</v>
      </c>
      <c r="I20">
        <v>0</v>
      </c>
      <c r="J20">
        <v>0</v>
      </c>
      <c r="K20">
        <v>159.9264</v>
      </c>
      <c r="L20">
        <v>0</v>
      </c>
      <c r="M20">
        <v>0</v>
      </c>
      <c r="N20">
        <v>0</v>
      </c>
      <c r="O20">
        <v>0</v>
      </c>
      <c r="P20">
        <v>0</v>
      </c>
      <c r="Q20">
        <v>4.44</v>
      </c>
      <c r="R20">
        <v>1043.9664</v>
      </c>
    </row>
    <row r="21" spans="1:18" x14ac:dyDescent="0.25">
      <c r="A21" t="s">
        <v>102</v>
      </c>
      <c r="B21" t="s">
        <v>135</v>
      </c>
      <c r="C21" t="s">
        <v>134</v>
      </c>
      <c r="D21" t="s">
        <v>159</v>
      </c>
      <c r="E21">
        <v>1</v>
      </c>
      <c r="F21">
        <v>0.18</v>
      </c>
      <c r="G21">
        <v>888.48</v>
      </c>
      <c r="H21">
        <v>0</v>
      </c>
      <c r="I21">
        <v>0</v>
      </c>
      <c r="J21">
        <v>0</v>
      </c>
      <c r="K21">
        <v>159.9264</v>
      </c>
      <c r="L21">
        <v>0</v>
      </c>
      <c r="M21">
        <v>0</v>
      </c>
      <c r="N21">
        <v>0</v>
      </c>
      <c r="O21">
        <v>0</v>
      </c>
      <c r="P21">
        <v>0</v>
      </c>
      <c r="Q21">
        <v>4.44</v>
      </c>
      <c r="R21">
        <v>1043.9664</v>
      </c>
    </row>
    <row r="22" spans="1:18" x14ac:dyDescent="0.25">
      <c r="A22" t="s">
        <v>288</v>
      </c>
      <c r="B22" t="s">
        <v>135</v>
      </c>
      <c r="C22" t="s">
        <v>134</v>
      </c>
      <c r="D22" t="s">
        <v>295</v>
      </c>
      <c r="E22">
        <v>1</v>
      </c>
      <c r="F22">
        <v>0.18</v>
      </c>
      <c r="G22">
        <v>289.45</v>
      </c>
      <c r="H22">
        <v>0</v>
      </c>
      <c r="I22">
        <v>0</v>
      </c>
      <c r="J22">
        <v>0</v>
      </c>
      <c r="K22">
        <v>52.101</v>
      </c>
      <c r="L22">
        <v>0</v>
      </c>
      <c r="M22">
        <v>0</v>
      </c>
      <c r="N22">
        <v>0</v>
      </c>
      <c r="O22">
        <v>0</v>
      </c>
      <c r="P22">
        <v>0</v>
      </c>
      <c r="Q22">
        <v>1.45</v>
      </c>
      <c r="R22">
        <v>340.101</v>
      </c>
    </row>
    <row r="23" spans="1:18" x14ac:dyDescent="0.25">
      <c r="A23" t="s">
        <v>305</v>
      </c>
      <c r="B23" t="s">
        <v>135</v>
      </c>
      <c r="C23" t="s">
        <v>134</v>
      </c>
      <c r="D23" t="s">
        <v>295</v>
      </c>
      <c r="E23">
        <v>1</v>
      </c>
      <c r="F23">
        <v>0.18</v>
      </c>
      <c r="G23">
        <v>289.45</v>
      </c>
      <c r="H23">
        <v>0</v>
      </c>
      <c r="I23">
        <v>0</v>
      </c>
      <c r="J23">
        <v>0</v>
      </c>
      <c r="K23">
        <v>52.101</v>
      </c>
      <c r="L23">
        <v>0</v>
      </c>
      <c r="M23">
        <v>0</v>
      </c>
      <c r="N23">
        <v>0</v>
      </c>
      <c r="O23">
        <v>0</v>
      </c>
      <c r="P23">
        <v>0</v>
      </c>
      <c r="Q23">
        <v>1.45</v>
      </c>
      <c r="R23">
        <v>340.101</v>
      </c>
    </row>
    <row r="24" spans="1:18" x14ac:dyDescent="0.25">
      <c r="A24" t="s">
        <v>305</v>
      </c>
      <c r="B24" t="s">
        <v>135</v>
      </c>
      <c r="C24" t="s">
        <v>134</v>
      </c>
      <c r="D24" t="s">
        <v>295</v>
      </c>
      <c r="E24">
        <v>1</v>
      </c>
      <c r="F24">
        <v>0.18</v>
      </c>
      <c r="G24">
        <v>289.45</v>
      </c>
      <c r="H24">
        <v>0</v>
      </c>
      <c r="I24">
        <v>0</v>
      </c>
      <c r="J24">
        <v>0</v>
      </c>
      <c r="K24">
        <v>52.101</v>
      </c>
      <c r="L24">
        <v>0</v>
      </c>
      <c r="M24">
        <v>0</v>
      </c>
      <c r="N24">
        <v>0</v>
      </c>
      <c r="O24">
        <v>0</v>
      </c>
      <c r="P24">
        <v>0</v>
      </c>
      <c r="Q24">
        <v>1.45</v>
      </c>
      <c r="R24">
        <v>340.101</v>
      </c>
    </row>
    <row r="25" spans="1:18" x14ac:dyDescent="0.25">
      <c r="A25" t="s">
        <v>319</v>
      </c>
      <c r="B25" t="s">
        <v>135</v>
      </c>
      <c r="C25" t="s">
        <v>134</v>
      </c>
      <c r="D25" t="s">
        <v>326</v>
      </c>
      <c r="E25">
        <v>1</v>
      </c>
      <c r="F25">
        <v>0.18</v>
      </c>
      <c r="G25">
        <v>225.69</v>
      </c>
      <c r="H25">
        <v>0</v>
      </c>
      <c r="I25">
        <v>0</v>
      </c>
      <c r="J25">
        <v>0</v>
      </c>
      <c r="K25">
        <v>40.624199999999995</v>
      </c>
      <c r="L25">
        <v>0</v>
      </c>
      <c r="M25">
        <v>0</v>
      </c>
      <c r="N25">
        <v>0</v>
      </c>
      <c r="O25">
        <v>0</v>
      </c>
      <c r="P25">
        <v>0</v>
      </c>
      <c r="Q25">
        <v>1.13</v>
      </c>
      <c r="R25">
        <v>265.1842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FormatPr defaultRowHeight="15" outlineLevelRow="0" outlineLevelCol="0" x14ac:dyDescent="55"/>
  <sheetData>
    <row r="1" spans="1:15" x14ac:dyDescent="0.25">
      <c r="A1" t="s">
        <v>331</v>
      </c>
      <c r="B1" t="s">
        <v>332</v>
      </c>
      <c r="C1" t="s">
        <v>333</v>
      </c>
      <c r="D1" t="s">
        <v>334</v>
      </c>
      <c r="E1" t="s">
        <v>335</v>
      </c>
      <c r="F1" t="s">
        <v>336</v>
      </c>
      <c r="G1" t="s">
        <v>337</v>
      </c>
      <c r="H1" t="s">
        <v>338</v>
      </c>
      <c r="I1" t="s">
        <v>9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</row>
    <row r="2" spans="1:15" x14ac:dyDescent="0.25">
      <c r="A2" t="s">
        <v>345</v>
      </c>
      <c r="B2" t="s">
        <v>102</v>
      </c>
      <c r="C2" t="s">
        <v>117</v>
      </c>
      <c r="D2" t="s">
        <v>117</v>
      </c>
      <c r="E2" t="s">
        <v>345</v>
      </c>
      <c r="F2" t="s">
        <v>116</v>
      </c>
      <c r="G2" t="s">
        <v>346</v>
      </c>
      <c r="H2" t="s">
        <v>110</v>
      </c>
      <c r="I2">
        <v>1</v>
      </c>
      <c r="J2">
        <v>0.18</v>
      </c>
      <c r="K2">
        <v>223.17</v>
      </c>
      <c r="L2">
        <v>223.17</v>
      </c>
      <c r="M2">
        <v>0</v>
      </c>
      <c r="N2">
        <v>0</v>
      </c>
      <c r="O2">
        <v>0</v>
      </c>
    </row>
    <row r="3" spans="1:15" x14ac:dyDescent="0.25">
      <c r="A3" t="s">
        <v>345</v>
      </c>
      <c r="B3" t="s">
        <v>102</v>
      </c>
      <c r="C3" t="s">
        <v>135</v>
      </c>
      <c r="D3" t="s">
        <v>135</v>
      </c>
      <c r="E3" t="s">
        <v>345</v>
      </c>
      <c r="F3" t="s">
        <v>134</v>
      </c>
      <c r="G3" t="s">
        <v>346</v>
      </c>
      <c r="H3" t="s">
        <v>131</v>
      </c>
      <c r="I3">
        <v>1</v>
      </c>
      <c r="J3">
        <v>0.18</v>
      </c>
      <c r="K3">
        <v>232.4</v>
      </c>
      <c r="L3">
        <v>232.4</v>
      </c>
      <c r="M3">
        <v>0</v>
      </c>
      <c r="N3">
        <v>0</v>
      </c>
      <c r="O3">
        <v>41.832</v>
      </c>
    </row>
    <row r="4" spans="1:15" x14ac:dyDescent="0.25">
      <c r="A4" t="s">
        <v>345</v>
      </c>
      <c r="B4" t="s">
        <v>102</v>
      </c>
      <c r="C4" t="s">
        <v>135</v>
      </c>
      <c r="D4" t="s">
        <v>135</v>
      </c>
      <c r="E4" t="s">
        <v>345</v>
      </c>
      <c r="F4" t="s">
        <v>134</v>
      </c>
      <c r="G4" t="s">
        <v>346</v>
      </c>
      <c r="H4" t="s">
        <v>147</v>
      </c>
      <c r="I4">
        <v>1</v>
      </c>
      <c r="J4">
        <v>0.18</v>
      </c>
      <c r="K4">
        <v>180.38</v>
      </c>
      <c r="L4">
        <v>180.38</v>
      </c>
      <c r="M4">
        <v>0</v>
      </c>
      <c r="N4">
        <v>0</v>
      </c>
      <c r="O4">
        <v>32.468399999999995</v>
      </c>
    </row>
    <row r="5" spans="1:15" x14ac:dyDescent="0.25">
      <c r="A5" t="s">
        <v>345</v>
      </c>
      <c r="B5" t="s">
        <v>102</v>
      </c>
      <c r="C5" t="s">
        <v>135</v>
      </c>
      <c r="D5" t="s">
        <v>135</v>
      </c>
      <c r="E5" t="s">
        <v>345</v>
      </c>
      <c r="F5" t="s">
        <v>134</v>
      </c>
      <c r="G5" t="s">
        <v>346</v>
      </c>
      <c r="H5" t="s">
        <v>159</v>
      </c>
      <c r="I5">
        <v>1</v>
      </c>
      <c r="J5">
        <v>0.18</v>
      </c>
      <c r="K5">
        <v>888.48</v>
      </c>
      <c r="L5">
        <v>888.48</v>
      </c>
      <c r="M5">
        <v>0</v>
      </c>
      <c r="N5">
        <v>0</v>
      </c>
      <c r="O5">
        <v>159.9264</v>
      </c>
    </row>
    <row r="6" spans="1:15" x14ac:dyDescent="0.25">
      <c r="A6" t="s">
        <v>345</v>
      </c>
      <c r="B6" t="s">
        <v>102</v>
      </c>
      <c r="C6" t="s">
        <v>135</v>
      </c>
      <c r="D6" t="s">
        <v>135</v>
      </c>
      <c r="E6" t="s">
        <v>345</v>
      </c>
      <c r="F6" t="s">
        <v>134</v>
      </c>
      <c r="G6" t="s">
        <v>346</v>
      </c>
      <c r="H6" t="s">
        <v>131</v>
      </c>
      <c r="I6">
        <v>1</v>
      </c>
      <c r="J6">
        <v>0.18</v>
      </c>
      <c r="K6">
        <v>232.4</v>
      </c>
      <c r="L6">
        <v>232.4</v>
      </c>
      <c r="M6">
        <v>0</v>
      </c>
      <c r="N6">
        <v>0</v>
      </c>
      <c r="O6">
        <v>41.832</v>
      </c>
    </row>
    <row r="7" spans="1:15" x14ac:dyDescent="0.25">
      <c r="A7" t="s">
        <v>345</v>
      </c>
      <c r="B7" t="s">
        <v>102</v>
      </c>
      <c r="C7" t="s">
        <v>135</v>
      </c>
      <c r="D7" t="s">
        <v>135</v>
      </c>
      <c r="E7" t="s">
        <v>345</v>
      </c>
      <c r="F7" t="s">
        <v>134</v>
      </c>
      <c r="G7" t="s">
        <v>346</v>
      </c>
      <c r="H7" t="s">
        <v>131</v>
      </c>
      <c r="I7">
        <v>8</v>
      </c>
      <c r="J7">
        <v>0.18</v>
      </c>
      <c r="K7">
        <v>1859.2</v>
      </c>
      <c r="L7">
        <v>232.4</v>
      </c>
      <c r="M7">
        <v>0</v>
      </c>
      <c r="N7">
        <v>0</v>
      </c>
      <c r="O7">
        <v>334.656</v>
      </c>
    </row>
    <row r="8" spans="1:15" x14ac:dyDescent="0.25">
      <c r="A8" t="s">
        <v>345</v>
      </c>
      <c r="B8" t="s">
        <v>102</v>
      </c>
      <c r="C8" t="s">
        <v>135</v>
      </c>
      <c r="D8" t="s">
        <v>135</v>
      </c>
      <c r="E8" t="s">
        <v>345</v>
      </c>
      <c r="F8" t="s">
        <v>134</v>
      </c>
      <c r="G8" t="s">
        <v>346</v>
      </c>
      <c r="H8" t="s">
        <v>184</v>
      </c>
      <c r="I8">
        <v>1</v>
      </c>
      <c r="J8">
        <v>0.18</v>
      </c>
      <c r="K8">
        <v>448.02</v>
      </c>
      <c r="L8">
        <v>448.02</v>
      </c>
      <c r="M8">
        <v>0</v>
      </c>
      <c r="N8">
        <v>0</v>
      </c>
      <c r="O8">
        <v>80.64359999999999</v>
      </c>
    </row>
    <row r="9" spans="1:15" x14ac:dyDescent="0.25">
      <c r="A9" t="s">
        <v>345</v>
      </c>
      <c r="B9" t="s">
        <v>102</v>
      </c>
      <c r="C9" t="s">
        <v>135</v>
      </c>
      <c r="D9" t="s">
        <v>135</v>
      </c>
      <c r="E9" t="s">
        <v>345</v>
      </c>
      <c r="F9" t="s">
        <v>134</v>
      </c>
      <c r="G9" t="s">
        <v>346</v>
      </c>
      <c r="H9" t="s">
        <v>194</v>
      </c>
      <c r="I9">
        <v>1</v>
      </c>
      <c r="J9">
        <v>0.18</v>
      </c>
      <c r="K9">
        <v>582.25</v>
      </c>
      <c r="L9">
        <v>582.25</v>
      </c>
      <c r="M9">
        <v>0</v>
      </c>
      <c r="N9">
        <v>0</v>
      </c>
      <c r="O9">
        <v>104.80499999999999</v>
      </c>
    </row>
    <row r="10" spans="1:15" x14ac:dyDescent="0.25">
      <c r="A10" t="s">
        <v>345</v>
      </c>
      <c r="B10" t="s">
        <v>102</v>
      </c>
      <c r="C10" t="s">
        <v>135</v>
      </c>
      <c r="D10" t="s">
        <v>135</v>
      </c>
      <c r="E10" t="s">
        <v>345</v>
      </c>
      <c r="F10" t="s">
        <v>134</v>
      </c>
      <c r="G10" t="s">
        <v>346</v>
      </c>
      <c r="H10" t="s">
        <v>205</v>
      </c>
      <c r="I10">
        <v>1</v>
      </c>
      <c r="J10">
        <v>0.18</v>
      </c>
      <c r="K10">
        <v>376.7</v>
      </c>
      <c r="L10">
        <v>376.7</v>
      </c>
      <c r="M10">
        <v>0</v>
      </c>
      <c r="N10">
        <v>0</v>
      </c>
      <c r="O10">
        <v>67.806</v>
      </c>
    </row>
    <row r="11" spans="1:15" x14ac:dyDescent="0.25">
      <c r="A11" t="s">
        <v>345</v>
      </c>
      <c r="B11" t="s">
        <v>102</v>
      </c>
      <c r="C11" t="s">
        <v>135</v>
      </c>
      <c r="D11" t="s">
        <v>135</v>
      </c>
      <c r="E11" t="s">
        <v>345</v>
      </c>
      <c r="F11" t="s">
        <v>134</v>
      </c>
      <c r="G11" t="s">
        <v>346</v>
      </c>
      <c r="H11" t="s">
        <v>147</v>
      </c>
      <c r="I11">
        <v>1</v>
      </c>
      <c r="J11">
        <v>0.18</v>
      </c>
      <c r="K11">
        <v>180.38</v>
      </c>
      <c r="L11">
        <v>180.38</v>
      </c>
      <c r="M11">
        <v>0</v>
      </c>
      <c r="N11">
        <v>0</v>
      </c>
      <c r="O11">
        <v>32.468399999999995</v>
      </c>
    </row>
    <row r="12" spans="1:15" x14ac:dyDescent="0.25">
      <c r="A12" t="s">
        <v>345</v>
      </c>
      <c r="B12" t="s">
        <v>102</v>
      </c>
      <c r="C12" t="s">
        <v>135</v>
      </c>
      <c r="D12" t="s">
        <v>135</v>
      </c>
      <c r="E12" t="s">
        <v>345</v>
      </c>
      <c r="F12" t="s">
        <v>134</v>
      </c>
      <c r="G12" t="s">
        <v>346</v>
      </c>
      <c r="H12" t="s">
        <v>159</v>
      </c>
      <c r="I12">
        <v>1</v>
      </c>
      <c r="J12">
        <v>0.18</v>
      </c>
      <c r="K12">
        <v>888.48</v>
      </c>
      <c r="L12">
        <v>888.48</v>
      </c>
      <c r="M12">
        <v>0</v>
      </c>
      <c r="N12">
        <v>0</v>
      </c>
      <c r="O12">
        <v>159.9264</v>
      </c>
    </row>
    <row r="13" spans="1:15" x14ac:dyDescent="0.25">
      <c r="A13" t="s">
        <v>345</v>
      </c>
      <c r="B13" t="s">
        <v>102</v>
      </c>
      <c r="C13" t="s">
        <v>135</v>
      </c>
      <c r="D13" t="s">
        <v>135</v>
      </c>
      <c r="E13" t="s">
        <v>345</v>
      </c>
      <c r="F13" t="s">
        <v>134</v>
      </c>
      <c r="G13" t="s">
        <v>346</v>
      </c>
      <c r="H13" t="s">
        <v>147</v>
      </c>
      <c r="I13">
        <v>1</v>
      </c>
      <c r="J13">
        <v>0.18</v>
      </c>
      <c r="K13">
        <v>180.38</v>
      </c>
      <c r="L13">
        <v>180.38</v>
      </c>
      <c r="M13">
        <v>0</v>
      </c>
      <c r="N13">
        <v>0</v>
      </c>
      <c r="O13">
        <v>32.468399999999995</v>
      </c>
    </row>
    <row r="14" spans="1:15" x14ac:dyDescent="0.25">
      <c r="A14" t="s">
        <v>345</v>
      </c>
      <c r="B14" t="s">
        <v>102</v>
      </c>
      <c r="C14" t="s">
        <v>135</v>
      </c>
      <c r="D14" t="s">
        <v>135</v>
      </c>
      <c r="E14" t="s">
        <v>345</v>
      </c>
      <c r="F14" t="s">
        <v>134</v>
      </c>
      <c r="G14" t="s">
        <v>346</v>
      </c>
      <c r="H14" t="s">
        <v>232</v>
      </c>
      <c r="I14">
        <v>2</v>
      </c>
      <c r="J14">
        <v>0.18</v>
      </c>
      <c r="K14">
        <v>355.72</v>
      </c>
      <c r="L14">
        <v>177.86</v>
      </c>
      <c r="M14">
        <v>0</v>
      </c>
      <c r="N14">
        <v>0</v>
      </c>
      <c r="O14">
        <v>64.0296</v>
      </c>
    </row>
    <row r="15" spans="1:15" x14ac:dyDescent="0.25">
      <c r="A15" t="s">
        <v>345</v>
      </c>
      <c r="B15" t="s">
        <v>102</v>
      </c>
      <c r="C15" t="s">
        <v>135</v>
      </c>
      <c r="D15" t="s">
        <v>135</v>
      </c>
      <c r="E15" t="s">
        <v>345</v>
      </c>
      <c r="F15" t="s">
        <v>134</v>
      </c>
      <c r="G15" t="s">
        <v>346</v>
      </c>
      <c r="H15" t="s">
        <v>147</v>
      </c>
      <c r="I15">
        <v>1</v>
      </c>
      <c r="J15">
        <v>0.18</v>
      </c>
      <c r="K15">
        <v>180.38</v>
      </c>
      <c r="L15">
        <v>180.38</v>
      </c>
      <c r="M15">
        <v>0</v>
      </c>
      <c r="N15">
        <v>0</v>
      </c>
      <c r="O15">
        <v>32.468399999999995</v>
      </c>
    </row>
    <row r="16" spans="1:15" x14ac:dyDescent="0.25">
      <c r="A16" t="s">
        <v>345</v>
      </c>
      <c r="B16" t="s">
        <v>102</v>
      </c>
      <c r="C16" t="s">
        <v>135</v>
      </c>
      <c r="D16" t="s">
        <v>135</v>
      </c>
      <c r="E16" t="s">
        <v>345</v>
      </c>
      <c r="F16" t="s">
        <v>134</v>
      </c>
      <c r="G16" t="s">
        <v>346</v>
      </c>
      <c r="H16" t="s">
        <v>147</v>
      </c>
      <c r="I16">
        <v>1</v>
      </c>
      <c r="J16">
        <v>0.18</v>
      </c>
      <c r="K16">
        <v>180.38</v>
      </c>
      <c r="L16">
        <v>180.38</v>
      </c>
      <c r="M16">
        <v>0</v>
      </c>
      <c r="N16">
        <v>0</v>
      </c>
      <c r="O16">
        <v>32.468399999999995</v>
      </c>
    </row>
    <row r="17" spans="1:15" x14ac:dyDescent="0.25">
      <c r="A17" t="s">
        <v>345</v>
      </c>
      <c r="B17" t="s">
        <v>102</v>
      </c>
      <c r="C17" t="s">
        <v>135</v>
      </c>
      <c r="D17" t="s">
        <v>135</v>
      </c>
      <c r="E17" t="s">
        <v>345</v>
      </c>
      <c r="F17" t="s">
        <v>134</v>
      </c>
      <c r="G17" t="s">
        <v>346</v>
      </c>
      <c r="H17" t="s">
        <v>131</v>
      </c>
      <c r="I17">
        <v>1</v>
      </c>
      <c r="J17">
        <v>0.18</v>
      </c>
      <c r="K17">
        <v>232.4</v>
      </c>
      <c r="L17">
        <v>232.4</v>
      </c>
      <c r="M17">
        <v>0</v>
      </c>
      <c r="N17">
        <v>0</v>
      </c>
      <c r="O17">
        <v>41.832</v>
      </c>
    </row>
    <row r="18" spans="1:15" x14ac:dyDescent="0.25">
      <c r="A18" t="s">
        <v>345</v>
      </c>
      <c r="B18" t="s">
        <v>102</v>
      </c>
      <c r="C18" t="s">
        <v>135</v>
      </c>
      <c r="D18" t="s">
        <v>135</v>
      </c>
      <c r="E18" t="s">
        <v>345</v>
      </c>
      <c r="F18" t="s">
        <v>134</v>
      </c>
      <c r="G18" t="s">
        <v>346</v>
      </c>
      <c r="H18" t="s">
        <v>147</v>
      </c>
      <c r="I18">
        <v>1</v>
      </c>
      <c r="J18">
        <v>0.18</v>
      </c>
      <c r="K18">
        <v>180.38</v>
      </c>
      <c r="L18">
        <v>180.38</v>
      </c>
      <c r="M18">
        <v>0</v>
      </c>
      <c r="N18">
        <v>0</v>
      </c>
      <c r="O18">
        <v>32.468399999999995</v>
      </c>
    </row>
    <row r="19" spans="1:15" x14ac:dyDescent="0.25">
      <c r="A19" t="s">
        <v>345</v>
      </c>
      <c r="B19" t="s">
        <v>102</v>
      </c>
      <c r="C19" t="s">
        <v>135</v>
      </c>
      <c r="D19" t="s">
        <v>135</v>
      </c>
      <c r="E19" t="s">
        <v>345</v>
      </c>
      <c r="F19" t="s">
        <v>134</v>
      </c>
      <c r="G19" t="s">
        <v>346</v>
      </c>
      <c r="H19" t="s">
        <v>269</v>
      </c>
      <c r="I19">
        <v>1</v>
      </c>
      <c r="J19">
        <v>0.18</v>
      </c>
      <c r="K19">
        <v>192.13</v>
      </c>
      <c r="L19">
        <v>192.13</v>
      </c>
      <c r="M19">
        <v>0</v>
      </c>
      <c r="N19">
        <v>0</v>
      </c>
      <c r="O19">
        <v>34.5834</v>
      </c>
    </row>
    <row r="20" spans="1:15" x14ac:dyDescent="0.25">
      <c r="A20" t="s">
        <v>345</v>
      </c>
      <c r="B20" t="s">
        <v>102</v>
      </c>
      <c r="C20" t="s">
        <v>135</v>
      </c>
      <c r="D20" t="s">
        <v>135</v>
      </c>
      <c r="E20" t="s">
        <v>345</v>
      </c>
      <c r="F20" t="s">
        <v>134</v>
      </c>
      <c r="G20" t="s">
        <v>346</v>
      </c>
      <c r="H20" t="s">
        <v>159</v>
      </c>
      <c r="I20">
        <v>1</v>
      </c>
      <c r="J20">
        <v>0.18</v>
      </c>
      <c r="K20">
        <v>888.48</v>
      </c>
      <c r="L20">
        <v>888.48</v>
      </c>
      <c r="M20">
        <v>0</v>
      </c>
      <c r="N20">
        <v>0</v>
      </c>
      <c r="O20">
        <v>159.9264</v>
      </c>
    </row>
    <row r="21" spans="1:15" x14ac:dyDescent="0.25">
      <c r="A21" t="s">
        <v>345</v>
      </c>
      <c r="B21" t="s">
        <v>102</v>
      </c>
      <c r="C21" t="s">
        <v>135</v>
      </c>
      <c r="D21" t="s">
        <v>135</v>
      </c>
      <c r="E21" t="s">
        <v>345</v>
      </c>
      <c r="F21" t="s">
        <v>134</v>
      </c>
      <c r="G21" t="s">
        <v>346</v>
      </c>
      <c r="H21" t="s">
        <v>159</v>
      </c>
      <c r="I21">
        <v>1</v>
      </c>
      <c r="J21">
        <v>0.18</v>
      </c>
      <c r="K21">
        <v>888.48</v>
      </c>
      <c r="L21">
        <v>888.48</v>
      </c>
      <c r="M21">
        <v>0</v>
      </c>
      <c r="N21">
        <v>0</v>
      </c>
      <c r="O21">
        <v>159.9264</v>
      </c>
    </row>
    <row r="22" spans="1:15" x14ac:dyDescent="0.25">
      <c r="A22" t="s">
        <v>345</v>
      </c>
      <c r="B22" t="s">
        <v>288</v>
      </c>
      <c r="C22" t="s">
        <v>135</v>
      </c>
      <c r="D22" t="s">
        <v>135</v>
      </c>
      <c r="E22" t="s">
        <v>345</v>
      </c>
      <c r="F22" t="s">
        <v>134</v>
      </c>
      <c r="G22" t="s">
        <v>346</v>
      </c>
      <c r="H22" t="s">
        <v>295</v>
      </c>
      <c r="I22">
        <v>1</v>
      </c>
      <c r="J22">
        <v>0.18</v>
      </c>
      <c r="K22">
        <v>289.45</v>
      </c>
      <c r="L22">
        <v>289.45</v>
      </c>
      <c r="M22">
        <v>0</v>
      </c>
      <c r="N22">
        <v>0</v>
      </c>
      <c r="O22">
        <v>52.101</v>
      </c>
    </row>
    <row r="23" spans="1:15" x14ac:dyDescent="0.25">
      <c r="A23" t="s">
        <v>345</v>
      </c>
      <c r="B23" t="s">
        <v>305</v>
      </c>
      <c r="C23" t="s">
        <v>135</v>
      </c>
      <c r="D23" t="s">
        <v>135</v>
      </c>
      <c r="E23" t="s">
        <v>345</v>
      </c>
      <c r="F23" t="s">
        <v>134</v>
      </c>
      <c r="G23" t="s">
        <v>346</v>
      </c>
      <c r="H23" t="s">
        <v>295</v>
      </c>
      <c r="I23">
        <v>1</v>
      </c>
      <c r="J23">
        <v>0.18</v>
      </c>
      <c r="K23">
        <v>289.45</v>
      </c>
      <c r="L23">
        <v>289.45</v>
      </c>
      <c r="M23">
        <v>0</v>
      </c>
      <c r="N23">
        <v>0</v>
      </c>
      <c r="O23">
        <v>52.101</v>
      </c>
    </row>
    <row r="24" spans="1:15" x14ac:dyDescent="0.25">
      <c r="A24" t="s">
        <v>345</v>
      </c>
      <c r="B24" t="s">
        <v>305</v>
      </c>
      <c r="C24" t="s">
        <v>135</v>
      </c>
      <c r="D24" t="s">
        <v>135</v>
      </c>
      <c r="E24" t="s">
        <v>345</v>
      </c>
      <c r="F24" t="s">
        <v>134</v>
      </c>
      <c r="G24" t="s">
        <v>346</v>
      </c>
      <c r="H24" t="s">
        <v>295</v>
      </c>
      <c r="I24">
        <v>1</v>
      </c>
      <c r="J24">
        <v>0.18</v>
      </c>
      <c r="K24">
        <v>289.45</v>
      </c>
      <c r="L24">
        <v>289.45</v>
      </c>
      <c r="M24">
        <v>0</v>
      </c>
      <c r="N24">
        <v>0</v>
      </c>
      <c r="O24">
        <v>52.101</v>
      </c>
    </row>
    <row r="25" spans="1:15" x14ac:dyDescent="0.25">
      <c r="A25" t="s">
        <v>345</v>
      </c>
      <c r="B25" t="s">
        <v>319</v>
      </c>
      <c r="C25" t="s">
        <v>135</v>
      </c>
      <c r="D25" t="s">
        <v>135</v>
      </c>
      <c r="E25" t="s">
        <v>345</v>
      </c>
      <c r="F25" t="s">
        <v>134</v>
      </c>
      <c r="G25" t="s">
        <v>346</v>
      </c>
      <c r="H25" t="s">
        <v>326</v>
      </c>
      <c r="I25">
        <v>1</v>
      </c>
      <c r="J25">
        <v>0.18</v>
      </c>
      <c r="K25">
        <v>225.69</v>
      </c>
      <c r="L25">
        <v>225.69</v>
      </c>
      <c r="M25">
        <v>0</v>
      </c>
      <c r="N25">
        <v>0</v>
      </c>
      <c r="O25">
        <v>40.624199999999995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FormatPr defaultRowHeight="15" outlineLevelRow="0" outlineLevelCol="0" x14ac:dyDescent="55"/>
  <sheetData>
    <row r="1" spans="1:12" x14ac:dyDescent="0.25">
      <c r="A1" t="s">
        <v>331</v>
      </c>
      <c r="B1" t="s">
        <v>332</v>
      </c>
      <c r="C1" t="s">
        <v>333</v>
      </c>
      <c r="D1" t="s">
        <v>334</v>
      </c>
      <c r="E1" t="s">
        <v>335</v>
      </c>
      <c r="F1" t="s">
        <v>336</v>
      </c>
      <c r="G1" t="s">
        <v>337</v>
      </c>
      <c r="H1" t="s">
        <v>339</v>
      </c>
      <c r="I1" t="s">
        <v>340</v>
      </c>
      <c r="J1" t="s">
        <v>342</v>
      </c>
      <c r="K1" t="s">
        <v>343</v>
      </c>
      <c r="L1" t="s">
        <v>344</v>
      </c>
    </row>
    <row r="2" spans="1:12" x14ac:dyDescent="0.25">
      <c r="A2" t="s">
        <v>345</v>
      </c>
      <c r="B2" t="s">
        <v>102</v>
      </c>
      <c r="C2" t="s">
        <v>117</v>
      </c>
      <c r="D2" t="s">
        <v>117</v>
      </c>
      <c r="E2" t="s">
        <v>345</v>
      </c>
      <c r="F2" t="s">
        <v>116</v>
      </c>
      <c r="G2" t="s">
        <v>346</v>
      </c>
      <c r="H2">
        <v>0.18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345</v>
      </c>
      <c r="B3" t="s">
        <v>102</v>
      </c>
      <c r="C3" t="s">
        <v>135</v>
      </c>
      <c r="D3" t="s">
        <v>135</v>
      </c>
      <c r="E3" t="s">
        <v>345</v>
      </c>
      <c r="F3" t="s">
        <v>134</v>
      </c>
      <c r="G3" t="s">
        <v>346</v>
      </c>
      <c r="H3">
        <v>0.18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345</v>
      </c>
      <c r="B4" t="s">
        <v>102</v>
      </c>
      <c r="C4" t="s">
        <v>135</v>
      </c>
      <c r="D4" t="s">
        <v>135</v>
      </c>
      <c r="E4" t="s">
        <v>345</v>
      </c>
      <c r="F4" t="s">
        <v>134</v>
      </c>
      <c r="G4" t="s">
        <v>346</v>
      </c>
      <c r="H4">
        <v>0.18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345</v>
      </c>
      <c r="B5" t="s">
        <v>102</v>
      </c>
      <c r="C5" t="s">
        <v>135</v>
      </c>
      <c r="D5" t="s">
        <v>135</v>
      </c>
      <c r="E5" t="s">
        <v>345</v>
      </c>
      <c r="F5" t="s">
        <v>134</v>
      </c>
      <c r="G5" t="s">
        <v>346</v>
      </c>
      <c r="H5">
        <v>0.18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345</v>
      </c>
      <c r="B6" t="s">
        <v>102</v>
      </c>
      <c r="C6" t="s">
        <v>135</v>
      </c>
      <c r="D6" t="s">
        <v>135</v>
      </c>
      <c r="E6" t="s">
        <v>345</v>
      </c>
      <c r="F6" t="s">
        <v>134</v>
      </c>
      <c r="G6" t="s">
        <v>346</v>
      </c>
      <c r="H6">
        <v>0.18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345</v>
      </c>
      <c r="B7" t="s">
        <v>102</v>
      </c>
      <c r="C7" t="s">
        <v>135</v>
      </c>
      <c r="D7" t="s">
        <v>135</v>
      </c>
      <c r="E7" t="s">
        <v>345</v>
      </c>
      <c r="F7" t="s">
        <v>134</v>
      </c>
      <c r="G7" t="s">
        <v>346</v>
      </c>
      <c r="H7">
        <v>0.18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345</v>
      </c>
      <c r="B8" t="s">
        <v>102</v>
      </c>
      <c r="C8" t="s">
        <v>135</v>
      </c>
      <c r="D8" t="s">
        <v>135</v>
      </c>
      <c r="E8" t="s">
        <v>345</v>
      </c>
      <c r="F8" t="s">
        <v>134</v>
      </c>
      <c r="G8" t="s">
        <v>346</v>
      </c>
      <c r="H8">
        <v>0.18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345</v>
      </c>
      <c r="B9" t="s">
        <v>102</v>
      </c>
      <c r="C9" t="s">
        <v>135</v>
      </c>
      <c r="D9" t="s">
        <v>135</v>
      </c>
      <c r="E9" t="s">
        <v>345</v>
      </c>
      <c r="F9" t="s">
        <v>134</v>
      </c>
      <c r="G9" t="s">
        <v>346</v>
      </c>
      <c r="H9">
        <v>0.18</v>
      </c>
      <c r="I9">
        <v>0</v>
      </c>
      <c r="J9">
        <v>0</v>
      </c>
      <c r="K9">
        <v>0</v>
      </c>
      <c r="L9">
        <v>0</v>
      </c>
    </row>
    <row r="10" spans="1:12" x14ac:dyDescent="0.25">
      <c r="A10" t="s">
        <v>345</v>
      </c>
      <c r="B10" t="s">
        <v>102</v>
      </c>
      <c r="C10" t="s">
        <v>135</v>
      </c>
      <c r="D10" t="s">
        <v>135</v>
      </c>
      <c r="E10" t="s">
        <v>345</v>
      </c>
      <c r="F10" t="s">
        <v>134</v>
      </c>
      <c r="G10" t="s">
        <v>346</v>
      </c>
      <c r="H10">
        <v>0.18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345</v>
      </c>
      <c r="B11" t="s">
        <v>102</v>
      </c>
      <c r="C11" t="s">
        <v>135</v>
      </c>
      <c r="D11" t="s">
        <v>135</v>
      </c>
      <c r="E11" t="s">
        <v>345</v>
      </c>
      <c r="F11" t="s">
        <v>134</v>
      </c>
      <c r="G11" t="s">
        <v>346</v>
      </c>
      <c r="H11">
        <v>0.18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345</v>
      </c>
      <c r="B12" t="s">
        <v>102</v>
      </c>
      <c r="C12" t="s">
        <v>135</v>
      </c>
      <c r="D12" t="s">
        <v>135</v>
      </c>
      <c r="E12" t="s">
        <v>345</v>
      </c>
      <c r="F12" t="s">
        <v>134</v>
      </c>
      <c r="G12" t="s">
        <v>346</v>
      </c>
      <c r="H12">
        <v>0.18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345</v>
      </c>
      <c r="B13" t="s">
        <v>102</v>
      </c>
      <c r="C13" t="s">
        <v>135</v>
      </c>
      <c r="D13" t="s">
        <v>135</v>
      </c>
      <c r="E13" t="s">
        <v>345</v>
      </c>
      <c r="F13" t="s">
        <v>134</v>
      </c>
      <c r="G13" t="s">
        <v>346</v>
      </c>
      <c r="H13">
        <v>0.18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t="s">
        <v>345</v>
      </c>
      <c r="B14" t="s">
        <v>102</v>
      </c>
      <c r="C14" t="s">
        <v>135</v>
      </c>
      <c r="D14" t="s">
        <v>135</v>
      </c>
      <c r="E14" t="s">
        <v>345</v>
      </c>
      <c r="F14" t="s">
        <v>134</v>
      </c>
      <c r="G14" t="s">
        <v>346</v>
      </c>
      <c r="H14">
        <v>0.18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345</v>
      </c>
      <c r="B15" t="s">
        <v>102</v>
      </c>
      <c r="C15" t="s">
        <v>135</v>
      </c>
      <c r="D15" t="s">
        <v>135</v>
      </c>
      <c r="E15" t="s">
        <v>345</v>
      </c>
      <c r="F15" t="s">
        <v>134</v>
      </c>
      <c r="G15" t="s">
        <v>346</v>
      </c>
      <c r="H15">
        <v>0.18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345</v>
      </c>
      <c r="B16" t="s">
        <v>102</v>
      </c>
      <c r="C16" t="s">
        <v>135</v>
      </c>
      <c r="D16" t="s">
        <v>135</v>
      </c>
      <c r="E16" t="s">
        <v>345</v>
      </c>
      <c r="F16" t="s">
        <v>134</v>
      </c>
      <c r="G16" t="s">
        <v>346</v>
      </c>
      <c r="H16">
        <v>0.18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345</v>
      </c>
      <c r="B17" t="s">
        <v>102</v>
      </c>
      <c r="C17" t="s">
        <v>135</v>
      </c>
      <c r="D17" t="s">
        <v>135</v>
      </c>
      <c r="E17" t="s">
        <v>345</v>
      </c>
      <c r="F17" t="s">
        <v>134</v>
      </c>
      <c r="G17" t="s">
        <v>346</v>
      </c>
      <c r="H17">
        <v>0.18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345</v>
      </c>
      <c r="B18" t="s">
        <v>102</v>
      </c>
      <c r="C18" t="s">
        <v>135</v>
      </c>
      <c r="D18" t="s">
        <v>135</v>
      </c>
      <c r="E18" t="s">
        <v>345</v>
      </c>
      <c r="F18" t="s">
        <v>134</v>
      </c>
      <c r="G18" t="s">
        <v>346</v>
      </c>
      <c r="H18">
        <v>0.18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345</v>
      </c>
      <c r="B19" t="s">
        <v>102</v>
      </c>
      <c r="C19" t="s">
        <v>135</v>
      </c>
      <c r="D19" t="s">
        <v>135</v>
      </c>
      <c r="E19" t="s">
        <v>345</v>
      </c>
      <c r="F19" t="s">
        <v>134</v>
      </c>
      <c r="G19" t="s">
        <v>346</v>
      </c>
      <c r="H19">
        <v>0.18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345</v>
      </c>
      <c r="B20" t="s">
        <v>102</v>
      </c>
      <c r="C20" t="s">
        <v>135</v>
      </c>
      <c r="D20" t="s">
        <v>135</v>
      </c>
      <c r="E20" t="s">
        <v>345</v>
      </c>
      <c r="F20" t="s">
        <v>134</v>
      </c>
      <c r="G20" t="s">
        <v>346</v>
      </c>
      <c r="H20">
        <v>0.18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t="s">
        <v>345</v>
      </c>
      <c r="B21" t="s">
        <v>102</v>
      </c>
      <c r="C21" t="s">
        <v>135</v>
      </c>
      <c r="D21" t="s">
        <v>135</v>
      </c>
      <c r="E21" t="s">
        <v>345</v>
      </c>
      <c r="F21" t="s">
        <v>134</v>
      </c>
      <c r="G21" t="s">
        <v>346</v>
      </c>
      <c r="H21">
        <v>0.18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345</v>
      </c>
      <c r="B22" t="s">
        <v>288</v>
      </c>
      <c r="C22" t="s">
        <v>135</v>
      </c>
      <c r="D22" t="s">
        <v>135</v>
      </c>
      <c r="E22" t="s">
        <v>345</v>
      </c>
      <c r="F22" t="s">
        <v>134</v>
      </c>
      <c r="G22" t="s">
        <v>346</v>
      </c>
      <c r="H22">
        <v>0.18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345</v>
      </c>
      <c r="B23" t="s">
        <v>305</v>
      </c>
      <c r="C23" t="s">
        <v>135</v>
      </c>
      <c r="D23" t="s">
        <v>135</v>
      </c>
      <c r="E23" t="s">
        <v>345</v>
      </c>
      <c r="F23" t="s">
        <v>134</v>
      </c>
      <c r="G23" t="s">
        <v>346</v>
      </c>
      <c r="H23">
        <v>0.18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345</v>
      </c>
      <c r="B24" t="s">
        <v>305</v>
      </c>
      <c r="C24" t="s">
        <v>135</v>
      </c>
      <c r="D24" t="s">
        <v>135</v>
      </c>
      <c r="E24" t="s">
        <v>345</v>
      </c>
      <c r="F24" t="s">
        <v>134</v>
      </c>
      <c r="G24" t="s">
        <v>346</v>
      </c>
      <c r="H24">
        <v>0.18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345</v>
      </c>
      <c r="B25" t="s">
        <v>319</v>
      </c>
      <c r="C25" t="s">
        <v>135</v>
      </c>
      <c r="D25" t="s">
        <v>135</v>
      </c>
      <c r="E25" t="s">
        <v>345</v>
      </c>
      <c r="F25" t="s">
        <v>134</v>
      </c>
      <c r="G25" t="s">
        <v>346</v>
      </c>
      <c r="H25">
        <v>0.18</v>
      </c>
      <c r="I25">
        <v>0</v>
      </c>
      <c r="J25">
        <v>0</v>
      </c>
      <c r="K25">
        <v>0</v>
      </c>
      <c r="L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sheetData>
    <row r="1" spans="1:8" x14ac:dyDescent="0.25">
      <c r="A1" t="s">
        <v>0</v>
      </c>
      <c r="B1" t="s">
        <v>12</v>
      </c>
      <c r="C1" t="s">
        <v>339</v>
      </c>
      <c r="D1" t="s">
        <v>9</v>
      </c>
      <c r="E1" t="s">
        <v>46</v>
      </c>
      <c r="F1" t="s">
        <v>48</v>
      </c>
      <c r="G1" t="s">
        <v>49</v>
      </c>
      <c r="H1" t="s">
        <v>50</v>
      </c>
    </row>
    <row r="2" spans="1:8" x14ac:dyDescent="0.25">
      <c r="A2" t="s">
        <v>102</v>
      </c>
      <c r="B2" t="s">
        <v>347</v>
      </c>
      <c r="C2">
        <v>0.18</v>
      </c>
      <c r="D2">
        <v>2</v>
      </c>
      <c r="E2">
        <v>805.42</v>
      </c>
      <c r="F2">
        <v>0</v>
      </c>
      <c r="G2">
        <v>0</v>
      </c>
      <c r="H2">
        <v>104.80499999999999</v>
      </c>
    </row>
    <row r="3" spans="1:8" x14ac:dyDescent="0.25">
      <c r="A3" t="s">
        <v>102</v>
      </c>
      <c r="B3" t="s">
        <v>348</v>
      </c>
      <c r="C3">
        <v>0.18</v>
      </c>
      <c r="D3">
        <v>11</v>
      </c>
      <c r="E3">
        <v>2556.4</v>
      </c>
      <c r="F3">
        <v>0</v>
      </c>
      <c r="G3">
        <v>0</v>
      </c>
      <c r="H3">
        <v>460.152</v>
      </c>
    </row>
    <row r="4" spans="1:8" x14ac:dyDescent="0.25">
      <c r="A4" t="s">
        <v>102</v>
      </c>
      <c r="B4" t="s">
        <v>349</v>
      </c>
      <c r="C4">
        <v>0.18</v>
      </c>
      <c r="D4">
        <v>11</v>
      </c>
      <c r="E4">
        <v>5084.220000000001</v>
      </c>
      <c r="F4">
        <v>0</v>
      </c>
      <c r="G4">
        <v>0</v>
      </c>
      <c r="H4">
        <v>915.1596</v>
      </c>
    </row>
    <row r="5" spans="1:8" x14ac:dyDescent="0.25">
      <c r="A5" t="s">
        <v>102</v>
      </c>
      <c r="B5" t="s">
        <v>350</v>
      </c>
      <c r="C5">
        <v>0.18</v>
      </c>
      <c r="D5">
        <v>1</v>
      </c>
      <c r="E5">
        <v>376.7</v>
      </c>
      <c r="F5">
        <v>0</v>
      </c>
      <c r="G5">
        <v>0</v>
      </c>
      <c r="H5">
        <v>67.806</v>
      </c>
    </row>
    <row r="6" spans="1:8" x14ac:dyDescent="0.25">
      <c r="A6" t="s">
        <v>102</v>
      </c>
      <c r="B6" t="s">
        <v>351</v>
      </c>
      <c r="C6">
        <v>0.18</v>
      </c>
      <c r="D6">
        <v>2</v>
      </c>
      <c r="E6">
        <v>355.72</v>
      </c>
      <c r="F6">
        <v>0</v>
      </c>
      <c r="G6">
        <v>0</v>
      </c>
      <c r="H6">
        <v>64.0296</v>
      </c>
    </row>
    <row r="7" spans="1:8" x14ac:dyDescent="0.25">
      <c r="A7" t="s">
        <v>102</v>
      </c>
      <c r="B7" t="s">
        <v>352</v>
      </c>
      <c r="C7">
        <v>0.18</v>
      </c>
      <c r="D7">
        <v>1</v>
      </c>
      <c r="E7">
        <v>192.13</v>
      </c>
      <c r="F7">
        <v>0</v>
      </c>
      <c r="G7">
        <v>0</v>
      </c>
      <c r="H7">
        <v>34.5834</v>
      </c>
    </row>
    <row r="8" spans="1:8" x14ac:dyDescent="0.25">
      <c r="A8" t="s">
        <v>288</v>
      </c>
      <c r="B8" t="s">
        <v>353</v>
      </c>
      <c r="C8">
        <v>0.18</v>
      </c>
      <c r="D8">
        <v>1</v>
      </c>
      <c r="E8">
        <v>289.45</v>
      </c>
      <c r="F8">
        <v>0</v>
      </c>
      <c r="G8">
        <v>0</v>
      </c>
      <c r="H8">
        <v>52.101</v>
      </c>
    </row>
    <row r="9" spans="1:8" x14ac:dyDescent="0.25">
      <c r="A9" t="s">
        <v>305</v>
      </c>
      <c r="B9" t="s">
        <v>353</v>
      </c>
      <c r="C9">
        <v>0.18</v>
      </c>
      <c r="D9">
        <v>2</v>
      </c>
      <c r="E9">
        <v>578.9</v>
      </c>
      <c r="F9">
        <v>0</v>
      </c>
      <c r="G9">
        <v>0</v>
      </c>
      <c r="H9">
        <v>104.202</v>
      </c>
    </row>
    <row r="10" spans="1:8" x14ac:dyDescent="0.25">
      <c r="A10" t="s">
        <v>319</v>
      </c>
      <c r="B10" t="s">
        <v>354</v>
      </c>
      <c r="C10">
        <v>0.18</v>
      </c>
      <c r="D10">
        <v>1</v>
      </c>
      <c r="E10">
        <v>225.69</v>
      </c>
      <c r="F10">
        <v>0</v>
      </c>
      <c r="G10">
        <v>0</v>
      </c>
      <c r="H10">
        <v>40.624199999999995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updated raw sheet</vt:lpstr>
      <vt:lpstr>amazon-b2b-pivot</vt:lpstr>
      <vt:lpstr>amazon-b2b-tally-ready</vt:lpstr>
      <vt:lpstr>amazon-b2b-shipping-tally-ready</vt:lpstr>
      <vt:lpstr>amazon-b2b-gstr-hsn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2026-06-02T07:36:04Z</dcterms:created>
  <dcterms:modified xsi:type="dcterms:W3CDTF">2026-06-02T07:36:04Z</dcterms:modified>
</cp:coreProperties>
</file>